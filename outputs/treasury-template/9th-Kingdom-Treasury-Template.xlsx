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c591c7a7149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f8f0b24f8d450e"/>
    <x:sheet xmlns:r="http://schemas.openxmlformats.org/officeDocument/2006/relationships" name="Accounts" sheetId="2" r:id="Ra88c826388414edd"/>
    <x:sheet xmlns:r="http://schemas.openxmlformats.org/officeDocument/2006/relationships" name="Transactions" sheetId="3" r:id="R4593881654ed4921"/>
    <x:sheet xmlns:r="http://schemas.openxmlformats.org/officeDocument/2006/relationships" name="Allocations" sheetId="4" r:id="Rbb2adc9b7aa947eb"/>
    <x:sheet xmlns:r="http://schemas.openxmlformats.org/officeDocument/2006/relationships" name="Guide" sheetId="5" r:id="R9a38f152ef67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.00;(#,##0.00);0.00"/>
    <x:numFmt numFmtId="202" formatCode="0.0%"/>
  </x:numFmts>
  <x:fonts count="6">
    <x:font>
      <x:sz val="11"/>
      <x:name val="Carlito"/>
    </x:font>
    <x:font>
      <x:sz val="11"/>
      <x:color rgb="FF142C27"/>
      <x:name val="Arial"/>
    </x:font>
    <x:font>
      <x:b/>
      <x:sz val="16"/>
      <x:color rgb="FF142C27"/>
      <x:name val="Arial"/>
    </x:font>
    <x:font>
      <x:sz val="11"/>
      <x:color rgb="FF174EA6"/>
      <x:name val="Arial"/>
    </x:font>
    <x:font>
      <x:b/>
      <x:sz val="11"/>
      <x:color rgb="FFFFFFFF"/>
      <x:name val="Arial"/>
    </x:font>
    <x:font>
      <x:b/>
      <x:sz val="11"/>
      <x:color rgb="FF142C2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7DC"/>
      </x:patternFill>
    </x:fill>
    <x:fill>
      <x:patternFill patternType="solid">
        <x:fgColor rgb="FF142C27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1" fontId="3" fillId="2" borderId="0" xfId="0" applyNumberFormat="1" applyFont="1" applyFill="1" applyBorder="1"/>
    <x:xf numFmtId="201" fontId="1" fillId="0" borderId="0" xfId="0" applyNumberFormat="1" applyFont="1" applyFill="1" applyBorder="1"/>
    <x:xf numFmtId="202" fontId="3" fillId="2" borderId="0" xfId="0" applyNumberFormat="1" applyFont="1" applyFill="1" applyBorder="1"/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2020"/>
      </x:font>
      <x:fill>
        <x:patternFill patternType="solid">
          <x:bgColor rgb="FFFDE8E8"/>
        </x:patternFill>
      </x:fill>
    </x:dxf>
    <x:dxf>
      <x:font>
        <x:color rgb="FF9C2020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65288f193945ae" /><Relationship Type="http://schemas.openxmlformats.org/officeDocument/2006/relationships/theme" Target="/xl/theme/theme1.xml" Id="Rf54a7373605a45d2" /><Relationship Type="http://schemas.openxmlformats.org/officeDocument/2006/relationships/sharedStrings" Target="/xl/sharedStrings.xml" Id="R26d488b0f1574a2c" /><Relationship Type="http://schemas.openxmlformats.org/officeDocument/2006/relationships/worksheet" Target="/xl/worksheets/sheet1.xml" Id="Ra0f8f0b24f8d450e" /><Relationship Type="http://schemas.openxmlformats.org/officeDocument/2006/relationships/worksheet" Target="/xl/worksheets/sheet2.xml" Id="Ra88c826388414edd" /><Relationship Type="http://schemas.openxmlformats.org/officeDocument/2006/relationships/worksheet" Target="/xl/worksheets/sheet3.xml" Id="R4593881654ed4921" /><Relationship Type="http://schemas.openxmlformats.org/officeDocument/2006/relationships/worksheet" Target="/xl/worksheets/sheet4.xml" Id="Rbb2adc9b7aa947eb" /><Relationship Type="http://schemas.openxmlformats.org/officeDocument/2006/relationships/worksheet" Target="/xl/worksheets/sheet5.xml" Id="R9a38f152ef674be5" /></Relationships>
</file>

<file path=xl/tables/table1.xml><?xml version="1.0" encoding="utf-8"?>
<x:table xmlns:x="http://schemas.openxmlformats.org/spreadsheetml/2006/main" id="1" name="TransactionsTable" displayName="TransactionsTable" ref="A6:O506" headerRowCount="1" totalsRowCount="0" totalsRowShown="0">
  <x:tableColumns count="15">
    <x:tableColumn id="1" name="Record ID"/>
    <x:tableColumn id="2" name="Date"/>
    <x:tableColumn id="3" name="Account"/>
    <x:tableColumn id="4" name="Currency"/>
    <x:tableColumn id="5" name="Type"/>
    <x:tableColumn id="6" name="Category"/>
    <x:tableColumn id="7" name="From / paid to"/>
    <x:tableColumn id="8" name="Description"/>
    <x:tableColumn id="9" name="Money in"/>
    <x:tableColumn id="10" name="Money out"/>
    <x:tableColumn id="11" name="Budget fund"/>
    <x:tableColumn id="12" name="Receipt / proof link"/>
    <x:tableColumn id="13" name="Transfer pair ID"/>
    <x:tableColumn id="14" name="Notes / correction ref"/>
    <x:tableColumn id="15" name="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953669bf4f64b31" /></Relationships>
</file>

<file path=xl/worksheets/sheet1.xml><?xml version="1.0" encoding="utf-8"?>
<x:worksheet xmlns:x="http://schemas.openxmlformats.org/spreadsheetml/2006/main">
  <x:sheetPr>
    <x:tabColor rgb="FF142C27"/>
  </x:sheetPr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9th Kingdom | Treasury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1" t="str">
        <x:v>Balance as of</x:v>
      </x:c>
      <x:c r="B4" s="5" t="n">
        <x:v>46276</x:v>
      </x:c>
      <x:c r="C4" s="1"/>
      <x:c r="D4" s="1"/>
      <x:c r="E4" s="1"/>
      <x:c r="F4" s="1"/>
      <x:c r="G4" s="1"/>
      <x:c r="H4" s="1"/>
      <x:c r="I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24" customHeight="1">
      <x:c r="A6" s="1" t="str">
        <x:v>Balances include transactions on or before the selected date. No currency conversion.</x:v>
      </x:c>
      <x:c r="B6" s="1"/>
      <x:c r="C6" s="1"/>
      <x:c r="D6" s="1"/>
      <x:c r="E6" s="1"/>
      <x:c r="F6" s="1"/>
      <x:c r="G6" s="1"/>
      <x:c r="H6" s="1"/>
      <x:c r="I6" s="1"/>
    </x:row>
    <x:row r="7" ht="24" customHeight="1">
      <x:c r="A7" s="1"/>
      <x:c r="B7" s="1"/>
      <x:c r="C7" s="1"/>
      <x:c r="D7" s="1"/>
      <x:c r="E7" s="1"/>
      <x:c r="F7" s="1"/>
      <x:c r="G7" s="1"/>
      <x:c r="H7" s="1"/>
      <x:c r="I7" s="1"/>
    </x:row>
    <x:row r="8" ht="36" customHeight="1">
      <x:c r="A8" s="8" t="str">
        <x:v>Currency</x:v>
      </x:c>
      <x:c r="B8" s="8" t="str">
        <x:v>Opening cash</x:v>
      </x:c>
      <x:c r="C8" s="8" t="str">
        <x:v>Income</x:v>
      </x:c>
      <x:c r="D8" s="8" t="str">
        <x:v>Expenses / fees</x:v>
      </x:c>
      <x:c r="E8" s="8" t="str">
        <x:v>Net transfers</x:v>
      </x:c>
      <x:c r="F8" s="8" t="str">
        <x:v>Book balance</x:v>
      </x:c>
      <x:c r="G8" s="1"/>
      <x:c r="H8" s="1"/>
      <x:c r="I8" s="1"/>
    </x:row>
    <x:row r="9" ht="24" customHeight="1">
      <x:c r="A9" s="10" t="str">
        <x:v>USD</x:v>
      </x:c>
      <x:c r="B9" s="12" t="n">
        <x:f>IF(A9="","",SUMIFS('Accounts'!$C$7:$C$26,'Accounts'!$B$7:$B$26,A9))</x:f>
        <x:v>0</x:v>
      </x:c>
      <x:c r="C9" s="12" t="n">
        <x:f>IF(A9="","",SUMIFS('Transactions'!$I$7:$I$506,'Transactions'!$D$7:$D$506,A9,'Transactions'!$E$7:$E$506,"Income",'Transactions'!$B$7:$B$506,"&gt;0",'Transactions'!$B$7:$B$506,"&lt;"&amp;($B$4+1)))</x:f>
        <x:v>0</x:v>
      </x:c>
      <x:c r="D9" s="12" t="n">
        <x:f>IF(A9="","",SUMIFS('Transactions'!$J$7:$J$506,'Transactions'!$D$7:$D$506,A9,'Transactions'!$E$7:$E$506,"Expense",'Transactions'!$B$7:$B$506,"&gt;0",'Transactions'!$B$7:$B$506,"&lt;"&amp;($B$4+1)))</x:f>
        <x:v>0</x:v>
      </x:c>
      <x:c r="E9" s="12" t="n">
        <x:f>IF(A9="","",SUMIFS('Transactions'!$I$7:$I$506,'Transactions'!$D$7:$D$506,A9,'Transactions'!$E$7:$E$506,"Transfer in",'Transactions'!$B$7:$B$506,"&gt;0",'Transactions'!$B$7:$B$506,"&lt;"&amp;($B$4+1))-SUMIFS('Transactions'!$J$7:$J$506,'Transactions'!$D$7:$D$506,A9,'Transactions'!$E$7:$E$506,"Transfer out",'Transactions'!$B$7:$B$506,"&gt;0",'Transactions'!$B$7:$B$506,"&lt;"&amp;($B$4+1)))</x:f>
        <x:v>0</x:v>
      </x:c>
      <x:c r="F9" s="12" t="n">
        <x:f>IF(A9="","",B9+C9-D9+E9)</x:f>
        <x:v>0</x:v>
      </x:c>
      <x:c r="G9" s="1"/>
      <x:c r="H9" s="1"/>
      <x:c r="I9" s="1"/>
    </x:row>
    <x:row r="10" ht="24" customHeight="1">
      <x:c r="A10" s="10" t="str">
        <x:v>EUR</x:v>
      </x:c>
      <x:c r="B10" s="12" t="n">
        <x:f>IF(A10="","",SUMIFS('Accounts'!$C$7:$C$26,'Accounts'!$B$7:$B$26,A10))</x:f>
        <x:v>0</x:v>
      </x:c>
      <x:c r="C10" s="12" t="n">
        <x:f>IF(A10="","",SUMIFS('Transactions'!$I$7:$I$506,'Transactions'!$D$7:$D$506,A10,'Transactions'!$E$7:$E$506,"Income",'Transactions'!$B$7:$B$506,"&gt;0",'Transactions'!$B$7:$B$506,"&lt;"&amp;($B$4+1)))</x:f>
        <x:v>0</x:v>
      </x:c>
      <x:c r="D10" s="12" t="n">
        <x:f>IF(A10="","",SUMIFS('Transactions'!$J$7:$J$506,'Transactions'!$D$7:$D$506,A10,'Transactions'!$E$7:$E$506,"Expense",'Transactions'!$B$7:$B$506,"&gt;0",'Transactions'!$B$7:$B$506,"&lt;"&amp;($B$4+1)))</x:f>
        <x:v>0</x:v>
      </x:c>
      <x:c r="E10" s="12" t="n">
        <x:f>IF(A10="","",SUMIFS('Transactions'!$I$7:$I$506,'Transactions'!$D$7:$D$506,A10,'Transactions'!$E$7:$E$506,"Transfer in",'Transactions'!$B$7:$B$506,"&gt;0",'Transactions'!$B$7:$B$506,"&lt;"&amp;($B$4+1))-SUMIFS('Transactions'!$J$7:$J$506,'Transactions'!$D$7:$D$506,A10,'Transactions'!$E$7:$E$506,"Transfer out",'Transactions'!$B$7:$B$506,"&gt;0",'Transactions'!$B$7:$B$506,"&lt;"&amp;($B$4+1)))</x:f>
        <x:v>0</x:v>
      </x:c>
      <x:c r="F10" s="12" t="n">
        <x:f>IF(A10="","",B10+C10-D10+E10)</x:f>
        <x:v>0</x:v>
      </x:c>
      <x:c r="G10" s="1"/>
      <x:c r="H10" s="1"/>
      <x:c r="I10" s="1"/>
    </x:row>
    <x:row r="11" ht="24" customHeight="1">
      <x:c r="A11" s="10" t="str">
        <x:v>GBP</x:v>
      </x:c>
      <x:c r="B11" s="12" t="n">
        <x:f>IF(A11="","",SUMIFS('Accounts'!$C$7:$C$26,'Accounts'!$B$7:$B$26,A11))</x:f>
        <x:v>0</x:v>
      </x:c>
      <x:c r="C11" s="12" t="n">
        <x:f>IF(A11="","",SUMIFS('Transactions'!$I$7:$I$506,'Transactions'!$D$7:$D$506,A11,'Transactions'!$E$7:$E$506,"Income",'Transactions'!$B$7:$B$506,"&gt;0",'Transactions'!$B$7:$B$506,"&lt;"&amp;($B$4+1)))</x:f>
        <x:v>0</x:v>
      </x:c>
      <x:c r="D11" s="12" t="n">
        <x:f>IF(A11="","",SUMIFS('Transactions'!$J$7:$J$506,'Transactions'!$D$7:$D$506,A11,'Transactions'!$E$7:$E$506,"Expense",'Transactions'!$B$7:$B$506,"&gt;0",'Transactions'!$B$7:$B$506,"&lt;"&amp;($B$4+1)))</x:f>
        <x:v>0</x:v>
      </x:c>
      <x:c r="E11" s="12" t="n">
        <x:f>IF(A11="","",SUMIFS('Transactions'!$I$7:$I$506,'Transactions'!$D$7:$D$506,A11,'Transactions'!$E$7:$E$506,"Transfer in",'Transactions'!$B$7:$B$506,"&gt;0",'Transactions'!$B$7:$B$506,"&lt;"&amp;($B$4+1))-SUMIFS('Transactions'!$J$7:$J$506,'Transactions'!$D$7:$D$506,A11,'Transactions'!$E$7:$E$506,"Transfer out",'Transactions'!$B$7:$B$506,"&gt;0",'Transactions'!$B$7:$B$506,"&lt;"&amp;($B$4+1)))</x:f>
        <x:v>0</x:v>
      </x:c>
      <x:c r="F11" s="12" t="n">
        <x:f>IF(A11="","",B11+C11-D11+E11)</x:f>
        <x:v>0</x:v>
      </x:c>
      <x:c r="G11" s="1"/>
      <x:c r="H11" s="1"/>
      <x:c r="I11" s="1"/>
    </x:row>
    <x:row r="12" ht="24" customHeight="1">
      <x:c r="A12" s="10"/>
      <x:c r="B12" s="12" t="str">
        <x:f>IF(A12="","",SUMIFS('Accounts'!$C$7:$C$26,'Accounts'!$B$7:$B$26,A12))</x:f>
      </x:c>
      <x:c r="C12" s="12" t="str">
        <x:f>IF(A12="","",SUMIFS('Transactions'!$I$7:$I$506,'Transactions'!$D$7:$D$506,A12,'Transactions'!$E$7:$E$506,"Income",'Transactions'!$B$7:$B$506,"&gt;0",'Transactions'!$B$7:$B$506,"&lt;"&amp;($B$4+1)))</x:f>
      </x:c>
      <x:c r="D12" s="12" t="str">
        <x:f>IF(A12="","",SUMIFS('Transactions'!$J$7:$J$506,'Transactions'!$D$7:$D$506,A12,'Transactions'!$E$7:$E$506,"Expense",'Transactions'!$B$7:$B$506,"&gt;0",'Transactions'!$B$7:$B$506,"&lt;"&amp;($B$4+1)))</x:f>
      </x:c>
      <x:c r="E12" s="12" t="str">
        <x:f>IF(A12="","",SUMIFS('Transactions'!$I$7:$I$506,'Transactions'!$D$7:$D$506,A12,'Transactions'!$E$7:$E$506,"Transfer in",'Transactions'!$B$7:$B$506,"&gt;0",'Transactions'!$B$7:$B$506,"&lt;"&amp;($B$4+1))-SUMIFS('Transactions'!$J$7:$J$506,'Transactions'!$D$7:$D$506,A12,'Transactions'!$E$7:$E$506,"Transfer out",'Transactions'!$B$7:$B$506,"&gt;0",'Transactions'!$B$7:$B$506,"&lt;"&amp;($B$4+1)))</x:f>
      </x:c>
      <x:c r="F12" s="12" t="str">
        <x:f>IF(A12="","",B12+C12-D12+E12)</x:f>
      </x:c>
      <x:c r="G12" s="1"/>
      <x:c r="H12" s="1"/>
      <x:c r="I12" s="1"/>
    </x:row>
    <x:row r="13" ht="24" customHeight="1">
      <x:c r="A13" s="10"/>
      <x:c r="B13" s="12" t="str">
        <x:f>IF(A13="","",SUMIFS('Accounts'!$C$7:$C$26,'Accounts'!$B$7:$B$26,A13))</x:f>
      </x:c>
      <x:c r="C13" s="12" t="str">
        <x:f>IF(A13="","",SUMIFS('Transactions'!$I$7:$I$506,'Transactions'!$D$7:$D$506,A13,'Transactions'!$E$7:$E$506,"Income",'Transactions'!$B$7:$B$506,"&gt;0",'Transactions'!$B$7:$B$506,"&lt;"&amp;($B$4+1)))</x:f>
      </x:c>
      <x:c r="D13" s="12" t="str">
        <x:f>IF(A13="","",SUMIFS('Transactions'!$J$7:$J$506,'Transactions'!$D$7:$D$506,A13,'Transactions'!$E$7:$E$506,"Expense",'Transactions'!$B$7:$B$506,"&gt;0",'Transactions'!$B$7:$B$506,"&lt;"&amp;($B$4+1)))</x:f>
      </x:c>
      <x:c r="E13" s="12" t="str">
        <x:f>IF(A13="","",SUMIFS('Transactions'!$I$7:$I$506,'Transactions'!$D$7:$D$506,A13,'Transactions'!$E$7:$E$506,"Transfer in",'Transactions'!$B$7:$B$506,"&gt;0",'Transactions'!$B$7:$B$506,"&lt;"&amp;($B$4+1))-SUMIFS('Transactions'!$J$7:$J$506,'Transactions'!$D$7:$D$506,A13,'Transactions'!$E$7:$E$506,"Transfer out",'Transactions'!$B$7:$B$506,"&gt;0",'Transactions'!$B$7:$B$506,"&lt;"&amp;($B$4+1)))</x:f>
      </x:c>
      <x:c r="F13" s="12" t="str">
        <x:f>IF(A13="","",B13+C13-D13+E13)</x:f>
      </x:c>
      <x:c r="G13" s="1"/>
      <x:c r="H13" s="1"/>
      <x:c r="I13" s="1"/>
    </x:row>
    <x:row r="14" ht="24" customHeight="1">
      <x:c r="A14" s="1"/>
      <x:c r="B14" s="1"/>
      <x:c r="C14" s="1"/>
      <x:c r="D14" s="1"/>
      <x:c r="E14" s="1"/>
      <x:c r="F14" s="1"/>
      <x:c r="G14" s="1"/>
      <x:c r="H14" s="1"/>
      <x:c r="I14" s="1"/>
    </x:row>
    <x:row r="15" ht="24" customHeight="1">
      <x:c r="A15" s="1"/>
      <x:c r="B15" s="1"/>
      <x:c r="C15" s="1"/>
      <x:c r="D15" s="1"/>
      <x:c r="E15" s="1"/>
      <x:c r="F15" s="1"/>
      <x:c r="G15" s="1"/>
      <x:c r="H15" s="1"/>
      <x:c r="I15" s="1"/>
    </x:row>
    <x:row r="16" ht="36" customHeight="1">
      <x:c r="A16" s="8" t="str">
        <x:v>Currency</x:v>
      </x:c>
      <x:c r="B16" s="8" t="str">
        <x:v>Treasury allocated</x:v>
      </x:c>
      <x:c r="C16" s="8" t="str">
        <x:v>Treasury spent</x:v>
      </x:c>
      <x:c r="D16" s="8" t="str">
        <x:v>Budget remaining</x:v>
      </x:c>
      <x:c r="E16" s="8" t="str">
        <x:v>Infra. allocated</x:v>
      </x:c>
      <x:c r="F16" s="8" t="str">
        <x:v>Infra. spent</x:v>
      </x:c>
      <x:c r="G16" s="8" t="str">
        <x:v>Budget remaining</x:v>
      </x:c>
      <x:c r="H16" s="1"/>
      <x:c r="I16" s="1"/>
    </x:row>
    <x:row r="17" ht="24" customHeight="1">
      <x:c r="A17" s="1" t="str">
        <x:f>IF(A9="","",A9)</x:f>
        <x:v>USD</x:v>
      </x:c>
      <x:c r="B17" s="12" t="n">
        <x:f>IF(A17="","",SUMIFS('Allocations'!$F$7:$F$206,'Allocations'!$C$7:$C$206,A17,'Allocations'!$B$7:$B$206,"&gt;0",'Allocations'!$B$7:$B$206,"&lt;"&amp;($B$4+1)))</x:f>
        <x:v>0</x:v>
      </x:c>
      <x:c r="C17" s="12" t="n">
        <x:f>IF(A17="","",SUMIFS('Transactions'!$J$7:$J$506,'Transactions'!$D$7:$D$506,A17,'Transactions'!$E$7:$E$506,"Expense",'Transactions'!$K$7:$K$506,"Treasury",'Transactions'!$B$7:$B$506,"&gt;0",'Transactions'!$B$7:$B$506,"&lt;"&amp;($B$4+1)))</x:f>
        <x:v>0</x:v>
      </x:c>
      <x:c r="D17" s="12" t="n">
        <x:f>IF(A17="","",B17-C17)</x:f>
        <x:v>0</x:v>
      </x:c>
      <x:c r="E17" s="12" t="n">
        <x:f>IF(A17="","",SUMIFS('Allocations'!$G$7:$G$206,'Allocations'!$C$7:$C$206,A17,'Allocations'!$B$7:$B$206,"&gt;0",'Allocations'!$B$7:$B$206,"&lt;"&amp;($B$4+1)))</x:f>
        <x:v>0</x:v>
      </x:c>
      <x:c r="F17" s="12" t="n">
        <x:f>IF(A17="","",SUMIFS('Transactions'!$J$7:$J$506,'Transactions'!$D$7:$D$506,A17,'Transactions'!$E$7:$E$506,"Expense",'Transactions'!$K$7:$K$506,"Infrastructure",'Transactions'!$B$7:$B$506,"&gt;0",'Transactions'!$B$7:$B$506,"&lt;"&amp;($B$4+1)))</x:f>
        <x:v>0</x:v>
      </x:c>
      <x:c r="G17" s="12" t="n">
        <x:f>IF(A17="","",E17-F17)</x:f>
        <x:v>0</x:v>
      </x:c>
      <x:c r="H17" s="1"/>
      <x:c r="I17" s="1"/>
    </x:row>
    <x:row r="18" ht="24" customHeight="1">
      <x:c r="A18" s="1" t="str">
        <x:f>IF(A10="","",A10)</x:f>
        <x:v>EUR</x:v>
      </x:c>
      <x:c r="B18" s="12" t="n">
        <x:f>IF(A18="","",SUMIFS('Allocations'!$F$7:$F$206,'Allocations'!$C$7:$C$206,A18,'Allocations'!$B$7:$B$206,"&gt;0",'Allocations'!$B$7:$B$206,"&lt;"&amp;($B$4+1)))</x:f>
        <x:v>0</x:v>
      </x:c>
      <x:c r="C18" s="12" t="n">
        <x:f>IF(A18="","",SUMIFS('Transactions'!$J$7:$J$506,'Transactions'!$D$7:$D$506,A18,'Transactions'!$E$7:$E$506,"Expense",'Transactions'!$K$7:$K$506,"Treasury",'Transactions'!$B$7:$B$506,"&gt;0",'Transactions'!$B$7:$B$506,"&lt;"&amp;($B$4+1)))</x:f>
        <x:v>0</x:v>
      </x:c>
      <x:c r="D18" s="12" t="n">
        <x:f>IF(A18="","",B18-C18)</x:f>
        <x:v>0</x:v>
      </x:c>
      <x:c r="E18" s="12" t="n">
        <x:f>IF(A18="","",SUMIFS('Allocations'!$G$7:$G$206,'Allocations'!$C$7:$C$206,A18,'Allocations'!$B$7:$B$206,"&gt;0",'Allocations'!$B$7:$B$206,"&lt;"&amp;($B$4+1)))</x:f>
        <x:v>0</x:v>
      </x:c>
      <x:c r="F18" s="12" t="n">
        <x:f>IF(A18="","",SUMIFS('Transactions'!$J$7:$J$506,'Transactions'!$D$7:$D$506,A18,'Transactions'!$E$7:$E$506,"Expense",'Transactions'!$K$7:$K$506,"Infrastructure",'Transactions'!$B$7:$B$506,"&gt;0",'Transactions'!$B$7:$B$506,"&lt;"&amp;($B$4+1)))</x:f>
        <x:v>0</x:v>
      </x:c>
      <x:c r="G18" s="12" t="n">
        <x:f>IF(A18="","",E18-F18)</x:f>
        <x:v>0</x:v>
      </x:c>
      <x:c r="H18" s="1"/>
      <x:c r="I18" s="1"/>
    </x:row>
    <x:row r="19" ht="24" customHeight="1">
      <x:c r="A19" s="1" t="str">
        <x:f>IF(A11="","",A11)</x:f>
        <x:v>GBP</x:v>
      </x:c>
      <x:c r="B19" s="12" t="n">
        <x:f>IF(A19="","",SUMIFS('Allocations'!$F$7:$F$206,'Allocations'!$C$7:$C$206,A19,'Allocations'!$B$7:$B$206,"&gt;0",'Allocations'!$B$7:$B$206,"&lt;"&amp;($B$4+1)))</x:f>
        <x:v>0</x:v>
      </x:c>
      <x:c r="C19" s="12" t="n">
        <x:f>IF(A19="","",SUMIFS('Transactions'!$J$7:$J$506,'Transactions'!$D$7:$D$506,A19,'Transactions'!$E$7:$E$506,"Expense",'Transactions'!$K$7:$K$506,"Treasury",'Transactions'!$B$7:$B$506,"&gt;0",'Transactions'!$B$7:$B$506,"&lt;"&amp;($B$4+1)))</x:f>
        <x:v>0</x:v>
      </x:c>
      <x:c r="D19" s="12" t="n">
        <x:f>IF(A19="","",B19-C19)</x:f>
        <x:v>0</x:v>
      </x:c>
      <x:c r="E19" s="12" t="n">
        <x:f>IF(A19="","",SUMIFS('Allocations'!$G$7:$G$206,'Allocations'!$C$7:$C$206,A19,'Allocations'!$B$7:$B$206,"&gt;0",'Allocations'!$B$7:$B$206,"&lt;"&amp;($B$4+1)))</x:f>
        <x:v>0</x:v>
      </x:c>
      <x:c r="F19" s="12" t="n">
        <x:f>IF(A19="","",SUMIFS('Transactions'!$J$7:$J$506,'Transactions'!$D$7:$D$506,A19,'Transactions'!$E$7:$E$506,"Expense",'Transactions'!$K$7:$K$506,"Infrastructure",'Transactions'!$B$7:$B$506,"&gt;0",'Transactions'!$B$7:$B$506,"&lt;"&amp;($B$4+1)))</x:f>
        <x:v>0</x:v>
      </x:c>
      <x:c r="G19" s="12" t="n">
        <x:f>IF(A19="","",E19-F19)</x:f>
        <x:v>0</x:v>
      </x:c>
      <x:c r="H19" s="1"/>
      <x:c r="I19" s="1"/>
    </x:row>
    <x:row r="20" ht="24" customHeight="1">
      <x:c r="A20" s="1" t="str">
        <x:f>IF(A12="","",A12)</x:f>
      </x:c>
      <x:c r="B20" s="12" t="str">
        <x:f>IF(A20="","",SUMIFS('Allocations'!$F$7:$F$206,'Allocations'!$C$7:$C$206,A20,'Allocations'!$B$7:$B$206,"&gt;0",'Allocations'!$B$7:$B$206,"&lt;"&amp;($B$4+1)))</x:f>
      </x:c>
      <x:c r="C20" s="12" t="str">
        <x:f>IF(A20="","",SUMIFS('Transactions'!$J$7:$J$506,'Transactions'!$D$7:$D$506,A20,'Transactions'!$E$7:$E$506,"Expense",'Transactions'!$K$7:$K$506,"Treasury",'Transactions'!$B$7:$B$506,"&gt;0",'Transactions'!$B$7:$B$506,"&lt;"&amp;($B$4+1)))</x:f>
      </x:c>
      <x:c r="D20" s="12" t="str">
        <x:f>IF(A20="","",B20-C20)</x:f>
      </x:c>
      <x:c r="E20" s="12" t="str">
        <x:f>IF(A20="","",SUMIFS('Allocations'!$G$7:$G$206,'Allocations'!$C$7:$C$206,A20,'Allocations'!$B$7:$B$206,"&gt;0",'Allocations'!$B$7:$B$206,"&lt;"&amp;($B$4+1)))</x:f>
      </x:c>
      <x:c r="F20" s="12" t="str">
        <x:f>IF(A20="","",SUMIFS('Transactions'!$J$7:$J$506,'Transactions'!$D$7:$D$506,A20,'Transactions'!$E$7:$E$506,"Expense",'Transactions'!$K$7:$K$506,"Infrastructure",'Transactions'!$B$7:$B$506,"&gt;0",'Transactions'!$B$7:$B$506,"&lt;"&amp;($B$4+1)))</x:f>
      </x:c>
      <x:c r="G20" s="12" t="str">
        <x:f>IF(A20="","",E20-F20)</x:f>
      </x:c>
      <x:c r="H20" s="1"/>
      <x:c r="I20" s="1"/>
    </x:row>
    <x:row r="21" ht="24" customHeight="1">
      <x:c r="A21" s="1" t="str">
        <x:f>IF(A13="","",A13)</x:f>
      </x:c>
      <x:c r="B21" s="12" t="str">
        <x:f>IF(A21="","",SUMIFS('Allocations'!$F$7:$F$206,'Allocations'!$C$7:$C$206,A21,'Allocations'!$B$7:$B$206,"&gt;0",'Allocations'!$B$7:$B$206,"&lt;"&amp;($B$4+1)))</x:f>
      </x:c>
      <x:c r="C21" s="12" t="str">
        <x:f>IF(A21="","",SUMIFS('Transactions'!$J$7:$J$506,'Transactions'!$D$7:$D$506,A21,'Transactions'!$E$7:$E$506,"Expense",'Transactions'!$K$7:$K$506,"Treasury",'Transactions'!$B$7:$B$506,"&gt;0",'Transactions'!$B$7:$B$506,"&lt;"&amp;($B$4+1)))</x:f>
      </x:c>
      <x:c r="D21" s="12" t="str">
        <x:f>IF(A21="","",B21-C21)</x:f>
      </x:c>
      <x:c r="E21" s="12" t="str">
        <x:f>IF(A21="","",SUMIFS('Allocations'!$G$7:$G$206,'Allocations'!$C$7:$C$206,A21,'Allocations'!$B$7:$B$206,"&gt;0",'Allocations'!$B$7:$B$206,"&lt;"&amp;($B$4+1)))</x:f>
      </x:c>
      <x:c r="F21" s="12" t="str">
        <x:f>IF(A21="","",SUMIFS('Transactions'!$J$7:$J$506,'Transactions'!$D$7:$D$506,A21,'Transactions'!$E$7:$E$506,"Expense",'Transactions'!$K$7:$K$506,"Infrastructure",'Transactions'!$B$7:$B$506,"&gt;0",'Transactions'!$B$7:$B$506,"&lt;"&amp;($B$4+1)))</x:f>
      </x:c>
      <x:c r="G21" s="12" t="str">
        <x:f>IF(A21="","",E21-F21)</x:f>
      </x:c>
      <x:c r="H21" s="1"/>
      <x:c r="I21" s="1"/>
    </x:row>
    <x:row r="22" ht="24" customHeight="1">
      <x:c r="A22" s="1"/>
      <x:c r="B22" s="1"/>
      <x:c r="C22" s="1"/>
      <x:c r="D22" s="1"/>
      <x:c r="E22" s="1"/>
      <x:c r="F22" s="1"/>
      <x:c r="G22" s="1"/>
      <x:c r="H22" s="1"/>
      <x:c r="I22" s="1"/>
    </x:row>
    <x:row r="23" ht="24" customHeight="1">
      <x:c r="A23" s="1" t="str">
        <x:v>Budget remaining is not spendable bank cash. Unallocated expenses affect cash only.</x:v>
      </x:c>
      <x:c r="B23" s="1"/>
      <x:c r="C23" s="1"/>
      <x:c r="D23" s="1"/>
      <x:c r="E23" s="1"/>
      <x:c r="F23" s="1"/>
      <x:c r="G23" s="1"/>
      <x:c r="H23" s="1"/>
      <x:c r="I23" s="1"/>
    </x:row>
    <x:row r="24" ht="24" customHeight="1">
      <x:c r="A24" s="1"/>
      <x:c r="B24" s="1"/>
      <x:c r="C24" s="1"/>
      <x:c r="D24" s="1"/>
      <x:c r="E24" s="1"/>
      <x:c r="F24" s="1"/>
      <x:c r="G24" s="1"/>
      <x:c r="H24" s="1"/>
      <x:c r="I24" s="1"/>
    </x:row>
    <x:row r="25" ht="24" customHeight="1">
      <x:c r="A25" s="1" t="str">
        <x:v>Start with Guide. Yellow cells are inputs; this blank template contains no actual accounts.</x:v>
      </x:c>
      <x:c r="B25" s="1"/>
      <x:c r="C25" s="1"/>
      <x:c r="D25" s="1"/>
      <x:c r="E25" s="1"/>
      <x:c r="F25" s="1"/>
      <x:c r="G25" s="1"/>
      <x:c r="H25" s="1"/>
      <x:c r="I25" s="1"/>
    </x:row>
    <x:row r="26" ht="24" customHeight="1">
      <x:c r="A26" s="1"/>
      <x:c r="B26" s="1"/>
      <x:c r="C26" s="1"/>
      <x:c r="D26" s="1"/>
      <x:c r="E26" s="1"/>
      <x:c r="F26" s="1"/>
      <x:c r="G26" s="1"/>
      <x:c r="H26" s="1"/>
      <x:c r="I26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" hidden="0" customWidth="1"/>
    <x:col min="2" max="2" width="13" hidden="0" customWidth="1"/>
    <x:col min="3" max="3" width="19" hidden="0" customWidth="1"/>
    <x:col min="4" max="4" width="18" hidden="0" customWidth="1"/>
    <x:col min="5" max="5" width="18" hidden="0" customWidth="1"/>
    <x:col min="6" max="6" width="19" hidden="0" customWidth="1"/>
    <x:col min="7" max="7" width="21" hidden="0" customWidth="1"/>
    <x:col min="8" max="8" width="20" hidden="0" customWidth="1"/>
    <x:col min="9" max="9" width="23" hidden="0" customWidth="1"/>
    <x:col min="10" max="10" width="30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2" t="str">
        <x:v>Accounts and reconciliation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24" customHeight="1">
      <x:c r="A4" s="1" t="str">
        <x:v>One row per account + currency. Opening cash is before your first recorded transaction.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6" customHeight="1">
      <x:c r="A6" s="8" t="str">
        <x:v>Account</x:v>
      </x:c>
      <x:c r="B6" s="8" t="str">
        <x:v>Currency</x:v>
      </x:c>
      <x:c r="C6" s="8" t="str">
        <x:v>Opening cash</x:v>
      </x:c>
      <x:c r="D6" s="8" t="str">
        <x:v>Money in</x:v>
      </x:c>
      <x:c r="E6" s="8" t="str">
        <x:v>Money out</x:v>
      </x:c>
      <x:c r="F6" s="8" t="str">
        <x:v>Book balance</x:v>
      </x:c>
      <x:c r="G6" s="8" t="str">
        <x:v>Statement balance</x:v>
      </x:c>
      <x:c r="H6" s="8" t="str">
        <x:v>Difference</x:v>
      </x:c>
      <x:c r="I6" s="8" t="str">
        <x:v>Review</x:v>
      </x:c>
      <x:c r="J6" s="8" t="str">
        <x:v>Statement / notes</x:v>
      </x:c>
    </x:row>
    <x:row r="7" ht="24" customHeight="1">
      <x:c r="A7" s="10"/>
      <x:c r="B7" s="10"/>
      <x:c r="C7" s="11"/>
      <x:c r="D7" s="12" t="str">
        <x:f>IF(OR(A7="",B7=""),"",SUMIFS('Transactions'!$I$7:$I$506,'Transactions'!$C$7:$C$506,A7,'Transactions'!$D$7:$D$506,B7,'Transactions'!$B$7:$B$506,"&gt;0",'Transactions'!$B$7:$B$506,"&lt;"&amp;('Summary'!$B$4+1)))</x:f>
      </x:c>
      <x:c r="E7" s="12" t="str">
        <x:f>IF(OR(A7="",B7=""),"",SUMIFS('Transactions'!$J$7:$J$506,'Transactions'!$C$7:$C$506,A7,'Transactions'!$D$7:$D$506,B7,'Transactions'!$B$7:$B$506,"&gt;0",'Transactions'!$B$7:$B$506,"&lt;"&amp;('Summary'!$B$4+1)))</x:f>
      </x:c>
      <x:c r="F7" s="12" t="str">
        <x:f>IF(OR(A7="",B7="",NOT(ISNUMBER(C7))),"",C7+D7-E7)</x:f>
      </x:c>
      <x:c r="G7" s="11"/>
      <x:c r="H7" s="12" t="str">
        <x:f>IF(OR(NOT(ISNUMBER(F7)),NOT(ISNUMBER(G7))),"",F7-G7)</x:f>
      </x:c>
      <x:c r="I7" s="1" t="str">
        <x:f>IF(A7="","",IF(COUNTIFS($A$7:$A$26,A7,$B$7:$B$26,B7)&gt;1,"Duplicate account",IF(OR(B7="",NOT(ISNUMBER(C7))),"Complete setup",IF(NOT(ISNUMBER(G7)),"Add statement balance",IF(ABS(H7)&gt;0.005,"Investigate difference","Matched")))))</x:f>
      </x:c>
      <x:c r="J7" s="10"/>
    </x:row>
    <x:row r="8" ht="24" customHeight="1">
      <x:c r="A8" s="10"/>
      <x:c r="B8" s="10"/>
      <x:c r="C8" s="11"/>
      <x:c r="D8" s="12" t="str">
        <x:f>IF(OR(A8="",B8=""),"",SUMIFS('Transactions'!$I$7:$I$506,'Transactions'!$C$7:$C$506,A8,'Transactions'!$D$7:$D$506,B8,'Transactions'!$B$7:$B$506,"&gt;0",'Transactions'!$B$7:$B$506,"&lt;"&amp;('Summary'!$B$4+1)))</x:f>
      </x:c>
      <x:c r="E8" s="12" t="str">
        <x:f>IF(OR(A8="",B8=""),"",SUMIFS('Transactions'!$J$7:$J$506,'Transactions'!$C$7:$C$506,A8,'Transactions'!$D$7:$D$506,B8,'Transactions'!$B$7:$B$506,"&gt;0",'Transactions'!$B$7:$B$506,"&lt;"&amp;('Summary'!$B$4+1)))</x:f>
      </x:c>
      <x:c r="F8" s="12" t="str">
        <x:f>IF(OR(A8="",B8="",NOT(ISNUMBER(C8))),"",C8+D8-E8)</x:f>
      </x:c>
      <x:c r="G8" s="11"/>
      <x:c r="H8" s="12" t="str">
        <x:f>IF(OR(NOT(ISNUMBER(F8)),NOT(ISNUMBER(G8))),"",F8-G8)</x:f>
      </x:c>
      <x:c r="I8" s="1" t="str">
        <x:f>IF(A8="","",IF(COUNTIFS($A$7:$A$26,A8,$B$7:$B$26,B8)&gt;1,"Duplicate account",IF(OR(B8="",NOT(ISNUMBER(C8))),"Complete setup",IF(NOT(ISNUMBER(G8)),"Add statement balance",IF(ABS(H8)&gt;0.005,"Investigate difference","Matched")))))</x:f>
      </x:c>
      <x:c r="J8" s="10"/>
    </x:row>
    <x:row r="9" ht="24" customHeight="1">
      <x:c r="A9" s="10"/>
      <x:c r="B9" s="10"/>
      <x:c r="C9" s="11"/>
      <x:c r="D9" s="12" t="str">
        <x:f>IF(OR(A9="",B9=""),"",SUMIFS('Transactions'!$I$7:$I$506,'Transactions'!$C$7:$C$506,A9,'Transactions'!$D$7:$D$506,B9,'Transactions'!$B$7:$B$506,"&gt;0",'Transactions'!$B$7:$B$506,"&lt;"&amp;('Summary'!$B$4+1)))</x:f>
      </x:c>
      <x:c r="E9" s="12" t="str">
        <x:f>IF(OR(A9="",B9=""),"",SUMIFS('Transactions'!$J$7:$J$506,'Transactions'!$C$7:$C$506,A9,'Transactions'!$D$7:$D$506,B9,'Transactions'!$B$7:$B$506,"&gt;0",'Transactions'!$B$7:$B$506,"&lt;"&amp;('Summary'!$B$4+1)))</x:f>
      </x:c>
      <x:c r="F9" s="12" t="str">
        <x:f>IF(OR(A9="",B9="",NOT(ISNUMBER(C9))),"",C9+D9-E9)</x:f>
      </x:c>
      <x:c r="G9" s="11"/>
      <x:c r="H9" s="12" t="str">
        <x:f>IF(OR(NOT(ISNUMBER(F9)),NOT(ISNUMBER(G9))),"",F9-G9)</x:f>
      </x:c>
      <x:c r="I9" s="1" t="str">
        <x:f>IF(A9="","",IF(COUNTIFS($A$7:$A$26,A9,$B$7:$B$26,B9)&gt;1,"Duplicate account",IF(OR(B9="",NOT(ISNUMBER(C9))),"Complete setup",IF(NOT(ISNUMBER(G9)),"Add statement balance",IF(ABS(H9)&gt;0.005,"Investigate difference","Matched")))))</x:f>
      </x:c>
      <x:c r="J9" s="10"/>
    </x:row>
    <x:row r="10" ht="24" customHeight="1">
      <x:c r="A10" s="10"/>
      <x:c r="B10" s="10"/>
      <x:c r="C10" s="11"/>
      <x:c r="D10" s="12" t="str">
        <x:f>IF(OR(A10="",B10=""),"",SUMIFS('Transactions'!$I$7:$I$506,'Transactions'!$C$7:$C$506,A10,'Transactions'!$D$7:$D$506,B10,'Transactions'!$B$7:$B$506,"&gt;0",'Transactions'!$B$7:$B$506,"&lt;"&amp;('Summary'!$B$4+1)))</x:f>
      </x:c>
      <x:c r="E10" s="12" t="str">
        <x:f>IF(OR(A10="",B10=""),"",SUMIFS('Transactions'!$J$7:$J$506,'Transactions'!$C$7:$C$506,A10,'Transactions'!$D$7:$D$506,B10,'Transactions'!$B$7:$B$506,"&gt;0",'Transactions'!$B$7:$B$506,"&lt;"&amp;('Summary'!$B$4+1)))</x:f>
      </x:c>
      <x:c r="F10" s="12" t="str">
        <x:f>IF(OR(A10="",B10="",NOT(ISNUMBER(C10))),"",C10+D10-E10)</x:f>
      </x:c>
      <x:c r="G10" s="11"/>
      <x:c r="H10" s="12" t="str">
        <x:f>IF(OR(NOT(ISNUMBER(F10)),NOT(ISNUMBER(G10))),"",F10-G10)</x:f>
      </x:c>
      <x:c r="I10" s="1" t="str">
        <x:f>IF(A10="","",IF(COUNTIFS($A$7:$A$26,A10,$B$7:$B$26,B10)&gt;1,"Duplicate account",IF(OR(B10="",NOT(ISNUMBER(C10))),"Complete setup",IF(NOT(ISNUMBER(G10)),"Add statement balance",IF(ABS(H10)&gt;0.005,"Investigate difference","Matched")))))</x:f>
      </x:c>
      <x:c r="J10" s="10"/>
    </x:row>
    <x:row r="11" ht="24" customHeight="1">
      <x:c r="A11" s="10"/>
      <x:c r="B11" s="10"/>
      <x:c r="C11" s="11"/>
      <x:c r="D11" s="12" t="str">
        <x:f>IF(OR(A11="",B11=""),"",SUMIFS('Transactions'!$I$7:$I$506,'Transactions'!$C$7:$C$506,A11,'Transactions'!$D$7:$D$506,B11,'Transactions'!$B$7:$B$506,"&gt;0",'Transactions'!$B$7:$B$506,"&lt;"&amp;('Summary'!$B$4+1)))</x:f>
      </x:c>
      <x:c r="E11" s="12" t="str">
        <x:f>IF(OR(A11="",B11=""),"",SUMIFS('Transactions'!$J$7:$J$506,'Transactions'!$C$7:$C$506,A11,'Transactions'!$D$7:$D$506,B11,'Transactions'!$B$7:$B$506,"&gt;0",'Transactions'!$B$7:$B$506,"&lt;"&amp;('Summary'!$B$4+1)))</x:f>
      </x:c>
      <x:c r="F11" s="12" t="str">
        <x:f>IF(OR(A11="",B11="",NOT(ISNUMBER(C11))),"",C11+D11-E11)</x:f>
      </x:c>
      <x:c r="G11" s="11"/>
      <x:c r="H11" s="12" t="str">
        <x:f>IF(OR(NOT(ISNUMBER(F11)),NOT(ISNUMBER(G11))),"",F11-G11)</x:f>
      </x:c>
      <x:c r="I11" s="1" t="str">
        <x:f>IF(A11="","",IF(COUNTIFS($A$7:$A$26,A11,$B$7:$B$26,B11)&gt;1,"Duplicate account",IF(OR(B11="",NOT(ISNUMBER(C11))),"Complete setup",IF(NOT(ISNUMBER(G11)),"Add statement balance",IF(ABS(H11)&gt;0.005,"Investigate difference","Matched")))))</x:f>
      </x:c>
      <x:c r="J11" s="10"/>
    </x:row>
    <x:row r="12" ht="24" customHeight="1">
      <x:c r="A12" s="10"/>
      <x:c r="B12" s="10"/>
      <x:c r="C12" s="11"/>
      <x:c r="D12" s="12" t="str">
        <x:f>IF(OR(A12="",B12=""),"",SUMIFS('Transactions'!$I$7:$I$506,'Transactions'!$C$7:$C$506,A12,'Transactions'!$D$7:$D$506,B12,'Transactions'!$B$7:$B$506,"&gt;0",'Transactions'!$B$7:$B$506,"&lt;"&amp;('Summary'!$B$4+1)))</x:f>
      </x:c>
      <x:c r="E12" s="12" t="str">
        <x:f>IF(OR(A12="",B12=""),"",SUMIFS('Transactions'!$J$7:$J$506,'Transactions'!$C$7:$C$506,A12,'Transactions'!$D$7:$D$506,B12,'Transactions'!$B$7:$B$506,"&gt;0",'Transactions'!$B$7:$B$506,"&lt;"&amp;('Summary'!$B$4+1)))</x:f>
      </x:c>
      <x:c r="F12" s="12" t="str">
        <x:f>IF(OR(A12="",B12="",NOT(ISNUMBER(C12))),"",C12+D12-E12)</x:f>
      </x:c>
      <x:c r="G12" s="11"/>
      <x:c r="H12" s="12" t="str">
        <x:f>IF(OR(NOT(ISNUMBER(F12)),NOT(ISNUMBER(G12))),"",F12-G12)</x:f>
      </x:c>
      <x:c r="I12" s="1" t="str">
        <x:f>IF(A12="","",IF(COUNTIFS($A$7:$A$26,A12,$B$7:$B$26,B12)&gt;1,"Duplicate account",IF(OR(B12="",NOT(ISNUMBER(C12))),"Complete setup",IF(NOT(ISNUMBER(G12)),"Add statement balance",IF(ABS(H12)&gt;0.005,"Investigate difference","Matched")))))</x:f>
      </x:c>
      <x:c r="J12" s="10"/>
    </x:row>
    <x:row r="13" ht="24" customHeight="1">
      <x:c r="A13" s="10"/>
      <x:c r="B13" s="10"/>
      <x:c r="C13" s="11"/>
      <x:c r="D13" s="12" t="str">
        <x:f>IF(OR(A13="",B13=""),"",SUMIFS('Transactions'!$I$7:$I$506,'Transactions'!$C$7:$C$506,A13,'Transactions'!$D$7:$D$506,B13,'Transactions'!$B$7:$B$506,"&gt;0",'Transactions'!$B$7:$B$506,"&lt;"&amp;('Summary'!$B$4+1)))</x:f>
      </x:c>
      <x:c r="E13" s="12" t="str">
        <x:f>IF(OR(A13="",B13=""),"",SUMIFS('Transactions'!$J$7:$J$506,'Transactions'!$C$7:$C$506,A13,'Transactions'!$D$7:$D$506,B13,'Transactions'!$B$7:$B$506,"&gt;0",'Transactions'!$B$7:$B$506,"&lt;"&amp;('Summary'!$B$4+1)))</x:f>
      </x:c>
      <x:c r="F13" s="12" t="str">
        <x:f>IF(OR(A13="",B13="",NOT(ISNUMBER(C13))),"",C13+D13-E13)</x:f>
      </x:c>
      <x:c r="G13" s="11"/>
      <x:c r="H13" s="12" t="str">
        <x:f>IF(OR(NOT(ISNUMBER(F13)),NOT(ISNUMBER(G13))),"",F13-G13)</x:f>
      </x:c>
      <x:c r="I13" s="1" t="str">
        <x:f>IF(A13="","",IF(COUNTIFS($A$7:$A$26,A13,$B$7:$B$26,B13)&gt;1,"Duplicate account",IF(OR(B13="",NOT(ISNUMBER(C13))),"Complete setup",IF(NOT(ISNUMBER(G13)),"Add statement balance",IF(ABS(H13)&gt;0.005,"Investigate difference","Matched")))))</x:f>
      </x:c>
      <x:c r="J13" s="10"/>
    </x:row>
    <x:row r="14" ht="24" customHeight="1">
      <x:c r="A14" s="10"/>
      <x:c r="B14" s="10"/>
      <x:c r="C14" s="11"/>
      <x:c r="D14" s="12" t="str">
        <x:f>IF(OR(A14="",B14=""),"",SUMIFS('Transactions'!$I$7:$I$506,'Transactions'!$C$7:$C$506,A14,'Transactions'!$D$7:$D$506,B14,'Transactions'!$B$7:$B$506,"&gt;0",'Transactions'!$B$7:$B$506,"&lt;"&amp;('Summary'!$B$4+1)))</x:f>
      </x:c>
      <x:c r="E14" s="12" t="str">
        <x:f>IF(OR(A14="",B14=""),"",SUMIFS('Transactions'!$J$7:$J$506,'Transactions'!$C$7:$C$506,A14,'Transactions'!$D$7:$D$506,B14,'Transactions'!$B$7:$B$506,"&gt;0",'Transactions'!$B$7:$B$506,"&lt;"&amp;('Summary'!$B$4+1)))</x:f>
      </x:c>
      <x:c r="F14" s="12" t="str">
        <x:f>IF(OR(A14="",B14="",NOT(ISNUMBER(C14))),"",C14+D14-E14)</x:f>
      </x:c>
      <x:c r="G14" s="11"/>
      <x:c r="H14" s="12" t="str">
        <x:f>IF(OR(NOT(ISNUMBER(F14)),NOT(ISNUMBER(G14))),"",F14-G14)</x:f>
      </x:c>
      <x:c r="I14" s="1" t="str">
        <x:f>IF(A14="","",IF(COUNTIFS($A$7:$A$26,A14,$B$7:$B$26,B14)&gt;1,"Duplicate account",IF(OR(B14="",NOT(ISNUMBER(C14))),"Complete setup",IF(NOT(ISNUMBER(G14)),"Add statement balance",IF(ABS(H14)&gt;0.005,"Investigate difference","Matched")))))</x:f>
      </x:c>
      <x:c r="J14" s="10"/>
    </x:row>
    <x:row r="15" ht="24" customHeight="1">
      <x:c r="A15" s="10"/>
      <x:c r="B15" s="10"/>
      <x:c r="C15" s="11"/>
      <x:c r="D15" s="12" t="str">
        <x:f>IF(OR(A15="",B15=""),"",SUMIFS('Transactions'!$I$7:$I$506,'Transactions'!$C$7:$C$506,A15,'Transactions'!$D$7:$D$506,B15,'Transactions'!$B$7:$B$506,"&gt;0",'Transactions'!$B$7:$B$506,"&lt;"&amp;('Summary'!$B$4+1)))</x:f>
      </x:c>
      <x:c r="E15" s="12" t="str">
        <x:f>IF(OR(A15="",B15=""),"",SUMIFS('Transactions'!$J$7:$J$506,'Transactions'!$C$7:$C$506,A15,'Transactions'!$D$7:$D$506,B15,'Transactions'!$B$7:$B$506,"&gt;0",'Transactions'!$B$7:$B$506,"&lt;"&amp;('Summary'!$B$4+1)))</x:f>
      </x:c>
      <x:c r="F15" s="12" t="str">
        <x:f>IF(OR(A15="",B15="",NOT(ISNUMBER(C15))),"",C15+D15-E15)</x:f>
      </x:c>
      <x:c r="G15" s="11"/>
      <x:c r="H15" s="12" t="str">
        <x:f>IF(OR(NOT(ISNUMBER(F15)),NOT(ISNUMBER(G15))),"",F15-G15)</x:f>
      </x:c>
      <x:c r="I15" s="1" t="str">
        <x:f>IF(A15="","",IF(COUNTIFS($A$7:$A$26,A15,$B$7:$B$26,B15)&gt;1,"Duplicate account",IF(OR(B15="",NOT(ISNUMBER(C15))),"Complete setup",IF(NOT(ISNUMBER(G15)),"Add statement balance",IF(ABS(H15)&gt;0.005,"Investigate difference","Matched")))))</x:f>
      </x:c>
      <x:c r="J15" s="10"/>
    </x:row>
    <x:row r="16" ht="24" customHeight="1">
      <x:c r="A16" s="10"/>
      <x:c r="B16" s="10"/>
      <x:c r="C16" s="11"/>
      <x:c r="D16" s="12" t="str">
        <x:f>IF(OR(A16="",B16=""),"",SUMIFS('Transactions'!$I$7:$I$506,'Transactions'!$C$7:$C$506,A16,'Transactions'!$D$7:$D$506,B16,'Transactions'!$B$7:$B$506,"&gt;0",'Transactions'!$B$7:$B$506,"&lt;"&amp;('Summary'!$B$4+1)))</x:f>
      </x:c>
      <x:c r="E16" s="12" t="str">
        <x:f>IF(OR(A16="",B16=""),"",SUMIFS('Transactions'!$J$7:$J$506,'Transactions'!$C$7:$C$506,A16,'Transactions'!$D$7:$D$506,B16,'Transactions'!$B$7:$B$506,"&gt;0",'Transactions'!$B$7:$B$506,"&lt;"&amp;('Summary'!$B$4+1)))</x:f>
      </x:c>
      <x:c r="F16" s="12" t="str">
        <x:f>IF(OR(A16="",B16="",NOT(ISNUMBER(C16))),"",C16+D16-E16)</x:f>
      </x:c>
      <x:c r="G16" s="11"/>
      <x:c r="H16" s="12" t="str">
        <x:f>IF(OR(NOT(ISNUMBER(F16)),NOT(ISNUMBER(G16))),"",F16-G16)</x:f>
      </x:c>
      <x:c r="I16" s="1" t="str">
        <x:f>IF(A16="","",IF(COUNTIFS($A$7:$A$26,A16,$B$7:$B$26,B16)&gt;1,"Duplicate account",IF(OR(B16="",NOT(ISNUMBER(C16))),"Complete setup",IF(NOT(ISNUMBER(G16)),"Add statement balance",IF(ABS(H16)&gt;0.005,"Investigate difference","Matched")))))</x:f>
      </x:c>
      <x:c r="J16" s="10"/>
    </x:row>
    <x:row r="17" ht="24" customHeight="1">
      <x:c r="A17" s="10"/>
      <x:c r="B17" s="10"/>
      <x:c r="C17" s="11"/>
      <x:c r="D17" s="12" t="str">
        <x:f>IF(OR(A17="",B17=""),"",SUMIFS('Transactions'!$I$7:$I$506,'Transactions'!$C$7:$C$506,A17,'Transactions'!$D$7:$D$506,B17,'Transactions'!$B$7:$B$506,"&gt;0",'Transactions'!$B$7:$B$506,"&lt;"&amp;('Summary'!$B$4+1)))</x:f>
      </x:c>
      <x:c r="E17" s="12" t="str">
        <x:f>IF(OR(A17="",B17=""),"",SUMIFS('Transactions'!$J$7:$J$506,'Transactions'!$C$7:$C$506,A17,'Transactions'!$D$7:$D$506,B17,'Transactions'!$B$7:$B$506,"&gt;0",'Transactions'!$B$7:$B$506,"&lt;"&amp;('Summary'!$B$4+1)))</x:f>
      </x:c>
      <x:c r="F17" s="12" t="str">
        <x:f>IF(OR(A17="",B17="",NOT(ISNUMBER(C17))),"",C17+D17-E17)</x:f>
      </x:c>
      <x:c r="G17" s="11"/>
      <x:c r="H17" s="12" t="str">
        <x:f>IF(OR(NOT(ISNUMBER(F17)),NOT(ISNUMBER(G17))),"",F17-G17)</x:f>
      </x:c>
      <x:c r="I17" s="1" t="str">
        <x:f>IF(A17="","",IF(COUNTIFS($A$7:$A$26,A17,$B$7:$B$26,B17)&gt;1,"Duplicate account",IF(OR(B17="",NOT(ISNUMBER(C17))),"Complete setup",IF(NOT(ISNUMBER(G17)),"Add statement balance",IF(ABS(H17)&gt;0.005,"Investigate difference","Matched")))))</x:f>
      </x:c>
      <x:c r="J17" s="10"/>
    </x:row>
    <x:row r="18" ht="24" customHeight="1">
      <x:c r="A18" s="10"/>
      <x:c r="B18" s="10"/>
      <x:c r="C18" s="11"/>
      <x:c r="D18" s="12" t="str">
        <x:f>IF(OR(A18="",B18=""),"",SUMIFS('Transactions'!$I$7:$I$506,'Transactions'!$C$7:$C$506,A18,'Transactions'!$D$7:$D$506,B18,'Transactions'!$B$7:$B$506,"&gt;0",'Transactions'!$B$7:$B$506,"&lt;"&amp;('Summary'!$B$4+1)))</x:f>
      </x:c>
      <x:c r="E18" s="12" t="str">
        <x:f>IF(OR(A18="",B18=""),"",SUMIFS('Transactions'!$J$7:$J$506,'Transactions'!$C$7:$C$506,A18,'Transactions'!$D$7:$D$506,B18,'Transactions'!$B$7:$B$506,"&gt;0",'Transactions'!$B$7:$B$506,"&lt;"&amp;('Summary'!$B$4+1)))</x:f>
      </x:c>
      <x:c r="F18" s="12" t="str">
        <x:f>IF(OR(A18="",B18="",NOT(ISNUMBER(C18))),"",C18+D18-E18)</x:f>
      </x:c>
      <x:c r="G18" s="11"/>
      <x:c r="H18" s="12" t="str">
        <x:f>IF(OR(NOT(ISNUMBER(F18)),NOT(ISNUMBER(G18))),"",F18-G18)</x:f>
      </x:c>
      <x:c r="I18" s="1" t="str">
        <x:f>IF(A18="","",IF(COUNTIFS($A$7:$A$26,A18,$B$7:$B$26,B18)&gt;1,"Duplicate account",IF(OR(B18="",NOT(ISNUMBER(C18))),"Complete setup",IF(NOT(ISNUMBER(G18)),"Add statement balance",IF(ABS(H18)&gt;0.005,"Investigate difference","Matched")))))</x:f>
      </x:c>
      <x:c r="J18" s="10"/>
    </x:row>
    <x:row r="19" ht="24" customHeight="1">
      <x:c r="A19" s="10"/>
      <x:c r="B19" s="10"/>
      <x:c r="C19" s="11"/>
      <x:c r="D19" s="12" t="str">
        <x:f>IF(OR(A19="",B19=""),"",SUMIFS('Transactions'!$I$7:$I$506,'Transactions'!$C$7:$C$506,A19,'Transactions'!$D$7:$D$506,B19,'Transactions'!$B$7:$B$506,"&gt;0",'Transactions'!$B$7:$B$506,"&lt;"&amp;('Summary'!$B$4+1)))</x:f>
      </x:c>
      <x:c r="E19" s="12" t="str">
        <x:f>IF(OR(A19="",B19=""),"",SUMIFS('Transactions'!$J$7:$J$506,'Transactions'!$C$7:$C$506,A19,'Transactions'!$D$7:$D$506,B19,'Transactions'!$B$7:$B$506,"&gt;0",'Transactions'!$B$7:$B$506,"&lt;"&amp;('Summary'!$B$4+1)))</x:f>
      </x:c>
      <x:c r="F19" s="12" t="str">
        <x:f>IF(OR(A19="",B19="",NOT(ISNUMBER(C19))),"",C19+D19-E19)</x:f>
      </x:c>
      <x:c r="G19" s="11"/>
      <x:c r="H19" s="12" t="str">
        <x:f>IF(OR(NOT(ISNUMBER(F19)),NOT(ISNUMBER(G19))),"",F19-G19)</x:f>
      </x:c>
      <x:c r="I19" s="1" t="str">
        <x:f>IF(A19="","",IF(COUNTIFS($A$7:$A$26,A19,$B$7:$B$26,B19)&gt;1,"Duplicate account",IF(OR(B19="",NOT(ISNUMBER(C19))),"Complete setup",IF(NOT(ISNUMBER(G19)),"Add statement balance",IF(ABS(H19)&gt;0.005,"Investigate difference","Matched")))))</x:f>
      </x:c>
      <x:c r="J19" s="10"/>
    </x:row>
    <x:row r="20" ht="24" customHeight="1">
      <x:c r="A20" s="10"/>
      <x:c r="B20" s="10"/>
      <x:c r="C20" s="11"/>
      <x:c r="D20" s="12" t="str">
        <x:f>IF(OR(A20="",B20=""),"",SUMIFS('Transactions'!$I$7:$I$506,'Transactions'!$C$7:$C$506,A20,'Transactions'!$D$7:$D$506,B20,'Transactions'!$B$7:$B$506,"&gt;0",'Transactions'!$B$7:$B$506,"&lt;"&amp;('Summary'!$B$4+1)))</x:f>
      </x:c>
      <x:c r="E20" s="12" t="str">
        <x:f>IF(OR(A20="",B20=""),"",SUMIFS('Transactions'!$J$7:$J$506,'Transactions'!$C$7:$C$506,A20,'Transactions'!$D$7:$D$506,B20,'Transactions'!$B$7:$B$506,"&gt;0",'Transactions'!$B$7:$B$506,"&lt;"&amp;('Summary'!$B$4+1)))</x:f>
      </x:c>
      <x:c r="F20" s="12" t="str">
        <x:f>IF(OR(A20="",B20="",NOT(ISNUMBER(C20))),"",C20+D20-E20)</x:f>
      </x:c>
      <x:c r="G20" s="11"/>
      <x:c r="H20" s="12" t="str">
        <x:f>IF(OR(NOT(ISNUMBER(F20)),NOT(ISNUMBER(G20))),"",F20-G20)</x:f>
      </x:c>
      <x:c r="I20" s="1" t="str">
        <x:f>IF(A20="","",IF(COUNTIFS($A$7:$A$26,A20,$B$7:$B$26,B20)&gt;1,"Duplicate account",IF(OR(B20="",NOT(ISNUMBER(C20))),"Complete setup",IF(NOT(ISNUMBER(G20)),"Add statement balance",IF(ABS(H20)&gt;0.005,"Investigate difference","Matched")))))</x:f>
      </x:c>
      <x:c r="J20" s="10"/>
    </x:row>
    <x:row r="21" ht="24" customHeight="1">
      <x:c r="A21" s="10"/>
      <x:c r="B21" s="10"/>
      <x:c r="C21" s="11"/>
      <x:c r="D21" s="12" t="str">
        <x:f>IF(OR(A21="",B21=""),"",SUMIFS('Transactions'!$I$7:$I$506,'Transactions'!$C$7:$C$506,A21,'Transactions'!$D$7:$D$506,B21,'Transactions'!$B$7:$B$506,"&gt;0",'Transactions'!$B$7:$B$506,"&lt;"&amp;('Summary'!$B$4+1)))</x:f>
      </x:c>
      <x:c r="E21" s="12" t="str">
        <x:f>IF(OR(A21="",B21=""),"",SUMIFS('Transactions'!$J$7:$J$506,'Transactions'!$C$7:$C$506,A21,'Transactions'!$D$7:$D$506,B21,'Transactions'!$B$7:$B$506,"&gt;0",'Transactions'!$B$7:$B$506,"&lt;"&amp;('Summary'!$B$4+1)))</x:f>
      </x:c>
      <x:c r="F21" s="12" t="str">
        <x:f>IF(OR(A21="",B21="",NOT(ISNUMBER(C21))),"",C21+D21-E21)</x:f>
      </x:c>
      <x:c r="G21" s="11"/>
      <x:c r="H21" s="12" t="str">
        <x:f>IF(OR(NOT(ISNUMBER(F21)),NOT(ISNUMBER(G21))),"",F21-G21)</x:f>
      </x:c>
      <x:c r="I21" s="1" t="str">
        <x:f>IF(A21="","",IF(COUNTIFS($A$7:$A$26,A21,$B$7:$B$26,B21)&gt;1,"Duplicate account",IF(OR(B21="",NOT(ISNUMBER(C21))),"Complete setup",IF(NOT(ISNUMBER(G21)),"Add statement balance",IF(ABS(H21)&gt;0.005,"Investigate difference","Matched")))))</x:f>
      </x:c>
      <x:c r="J21" s="10"/>
    </x:row>
    <x:row r="22" ht="24" customHeight="1">
      <x:c r="A22" s="10"/>
      <x:c r="B22" s="10"/>
      <x:c r="C22" s="11"/>
      <x:c r="D22" s="12" t="str">
        <x:f>IF(OR(A22="",B22=""),"",SUMIFS('Transactions'!$I$7:$I$506,'Transactions'!$C$7:$C$506,A22,'Transactions'!$D$7:$D$506,B22,'Transactions'!$B$7:$B$506,"&gt;0",'Transactions'!$B$7:$B$506,"&lt;"&amp;('Summary'!$B$4+1)))</x:f>
      </x:c>
      <x:c r="E22" s="12" t="str">
        <x:f>IF(OR(A22="",B22=""),"",SUMIFS('Transactions'!$J$7:$J$506,'Transactions'!$C$7:$C$506,A22,'Transactions'!$D$7:$D$506,B22,'Transactions'!$B$7:$B$506,"&gt;0",'Transactions'!$B$7:$B$506,"&lt;"&amp;('Summary'!$B$4+1)))</x:f>
      </x:c>
      <x:c r="F22" s="12" t="str">
        <x:f>IF(OR(A22="",B22="",NOT(ISNUMBER(C22))),"",C22+D22-E22)</x:f>
      </x:c>
      <x:c r="G22" s="11"/>
      <x:c r="H22" s="12" t="str">
        <x:f>IF(OR(NOT(ISNUMBER(F22)),NOT(ISNUMBER(G22))),"",F22-G22)</x:f>
      </x:c>
      <x:c r="I22" s="1" t="str">
        <x:f>IF(A22="","",IF(COUNTIFS($A$7:$A$26,A22,$B$7:$B$26,B22)&gt;1,"Duplicate account",IF(OR(B22="",NOT(ISNUMBER(C22))),"Complete setup",IF(NOT(ISNUMBER(G22)),"Add statement balance",IF(ABS(H22)&gt;0.005,"Investigate difference","Matched")))))</x:f>
      </x:c>
      <x:c r="J22" s="10"/>
    </x:row>
    <x:row r="23" ht="24" customHeight="1">
      <x:c r="A23" s="10"/>
      <x:c r="B23" s="10"/>
      <x:c r="C23" s="11"/>
      <x:c r="D23" s="12" t="str">
        <x:f>IF(OR(A23="",B23=""),"",SUMIFS('Transactions'!$I$7:$I$506,'Transactions'!$C$7:$C$506,A23,'Transactions'!$D$7:$D$506,B23,'Transactions'!$B$7:$B$506,"&gt;0",'Transactions'!$B$7:$B$506,"&lt;"&amp;('Summary'!$B$4+1)))</x:f>
      </x:c>
      <x:c r="E23" s="12" t="str">
        <x:f>IF(OR(A23="",B23=""),"",SUMIFS('Transactions'!$J$7:$J$506,'Transactions'!$C$7:$C$506,A23,'Transactions'!$D$7:$D$506,B23,'Transactions'!$B$7:$B$506,"&gt;0",'Transactions'!$B$7:$B$506,"&lt;"&amp;('Summary'!$B$4+1)))</x:f>
      </x:c>
      <x:c r="F23" s="12" t="str">
        <x:f>IF(OR(A23="",B23="",NOT(ISNUMBER(C23))),"",C23+D23-E23)</x:f>
      </x:c>
      <x:c r="G23" s="11"/>
      <x:c r="H23" s="12" t="str">
        <x:f>IF(OR(NOT(ISNUMBER(F23)),NOT(ISNUMBER(G23))),"",F23-G23)</x:f>
      </x:c>
      <x:c r="I23" s="1" t="str">
        <x:f>IF(A23="","",IF(COUNTIFS($A$7:$A$26,A23,$B$7:$B$26,B23)&gt;1,"Duplicate account",IF(OR(B23="",NOT(ISNUMBER(C23))),"Complete setup",IF(NOT(ISNUMBER(G23)),"Add statement balance",IF(ABS(H23)&gt;0.005,"Investigate difference","Matched")))))</x:f>
      </x:c>
      <x:c r="J23" s="10"/>
    </x:row>
    <x:row r="24" ht="24" customHeight="1">
      <x:c r="A24" s="10"/>
      <x:c r="B24" s="10"/>
      <x:c r="C24" s="11"/>
      <x:c r="D24" s="12" t="str">
        <x:f>IF(OR(A24="",B24=""),"",SUMIFS('Transactions'!$I$7:$I$506,'Transactions'!$C$7:$C$506,A24,'Transactions'!$D$7:$D$506,B24,'Transactions'!$B$7:$B$506,"&gt;0",'Transactions'!$B$7:$B$506,"&lt;"&amp;('Summary'!$B$4+1)))</x:f>
      </x:c>
      <x:c r="E24" s="12" t="str">
        <x:f>IF(OR(A24="",B24=""),"",SUMIFS('Transactions'!$J$7:$J$506,'Transactions'!$C$7:$C$506,A24,'Transactions'!$D$7:$D$506,B24,'Transactions'!$B$7:$B$506,"&gt;0",'Transactions'!$B$7:$B$506,"&lt;"&amp;('Summary'!$B$4+1)))</x:f>
      </x:c>
      <x:c r="F24" s="12" t="str">
        <x:f>IF(OR(A24="",B24="",NOT(ISNUMBER(C24))),"",C24+D24-E24)</x:f>
      </x:c>
      <x:c r="G24" s="11"/>
      <x:c r="H24" s="12" t="str">
        <x:f>IF(OR(NOT(ISNUMBER(F24)),NOT(ISNUMBER(G24))),"",F24-G24)</x:f>
      </x:c>
      <x:c r="I24" s="1" t="str">
        <x:f>IF(A24="","",IF(COUNTIFS($A$7:$A$26,A24,$B$7:$B$26,B24)&gt;1,"Duplicate account",IF(OR(B24="",NOT(ISNUMBER(C24))),"Complete setup",IF(NOT(ISNUMBER(G24)),"Add statement balance",IF(ABS(H24)&gt;0.005,"Investigate difference","Matched")))))</x:f>
      </x:c>
      <x:c r="J24" s="10"/>
    </x:row>
    <x:row r="25" ht="24" customHeight="1">
      <x:c r="A25" s="10"/>
      <x:c r="B25" s="10"/>
      <x:c r="C25" s="11"/>
      <x:c r="D25" s="12" t="str">
        <x:f>IF(OR(A25="",B25=""),"",SUMIFS('Transactions'!$I$7:$I$506,'Transactions'!$C$7:$C$506,A25,'Transactions'!$D$7:$D$506,B25,'Transactions'!$B$7:$B$506,"&gt;0",'Transactions'!$B$7:$B$506,"&lt;"&amp;('Summary'!$B$4+1)))</x:f>
      </x:c>
      <x:c r="E25" s="12" t="str">
        <x:f>IF(OR(A25="",B25=""),"",SUMIFS('Transactions'!$J$7:$J$506,'Transactions'!$C$7:$C$506,A25,'Transactions'!$D$7:$D$506,B25,'Transactions'!$B$7:$B$506,"&gt;0",'Transactions'!$B$7:$B$506,"&lt;"&amp;('Summary'!$B$4+1)))</x:f>
      </x:c>
      <x:c r="F25" s="12" t="str">
        <x:f>IF(OR(A25="",B25="",NOT(ISNUMBER(C25))),"",C25+D25-E25)</x:f>
      </x:c>
      <x:c r="G25" s="11"/>
      <x:c r="H25" s="12" t="str">
        <x:f>IF(OR(NOT(ISNUMBER(F25)),NOT(ISNUMBER(G25))),"",F25-G25)</x:f>
      </x:c>
      <x:c r="I25" s="1" t="str">
        <x:f>IF(A25="","",IF(COUNTIFS($A$7:$A$26,A25,$B$7:$B$26,B25)&gt;1,"Duplicate account",IF(OR(B25="",NOT(ISNUMBER(C25))),"Complete setup",IF(NOT(ISNUMBER(G25)),"Add statement balance",IF(ABS(H25)&gt;0.005,"Investigate difference","Matched")))))</x:f>
      </x:c>
      <x:c r="J25" s="10"/>
    </x:row>
    <x:row r="26" ht="24" customHeight="1">
      <x:c r="A26" s="10"/>
      <x:c r="B26" s="10"/>
      <x:c r="C26" s="11"/>
      <x:c r="D26" s="12" t="str">
        <x:f>IF(OR(A26="",B26=""),"",SUMIFS('Transactions'!$I$7:$I$506,'Transactions'!$C$7:$C$506,A26,'Transactions'!$D$7:$D$506,B26,'Transactions'!$B$7:$B$506,"&gt;0",'Transactions'!$B$7:$B$506,"&lt;"&amp;('Summary'!$B$4+1)))</x:f>
      </x:c>
      <x:c r="E26" s="12" t="str">
        <x:f>IF(OR(A26="",B26=""),"",SUMIFS('Transactions'!$J$7:$J$506,'Transactions'!$C$7:$C$506,A26,'Transactions'!$D$7:$D$506,B26,'Transactions'!$B$7:$B$506,"&gt;0",'Transactions'!$B$7:$B$506,"&lt;"&amp;('Summary'!$B$4+1)))</x:f>
      </x:c>
      <x:c r="F26" s="12" t="str">
        <x:f>IF(OR(A26="",B26="",NOT(ISNUMBER(C26))),"",C26+D26-E26)</x:f>
      </x:c>
      <x:c r="G26" s="11"/>
      <x:c r="H26" s="12" t="str">
        <x:f>IF(OR(NOT(ISNUMBER(F26)),NOT(ISNUMBER(G26))),"",F26-G26)</x:f>
      </x:c>
      <x:c r="I26" s="1" t="str">
        <x:f>IF(A26="","",IF(COUNTIFS($A$7:$A$26,A26,$B$7:$B$26,B26)&gt;1,"Duplicate account",IF(OR(B26="",NOT(ISNUMBER(C26))),"Complete setup",IF(NOT(ISNUMBER(G26)),"Add statement balance",IF(ABS(H26)&gt;0.005,"Investigate difference","Matched")))))</x:f>
      </x:c>
      <x:c r="J26" s="10"/>
    </x:row>
  </x:sheetData>
  <x:conditionalFormatting sqref="H7:H26">
    <x:cfRule type="cellIs" dxfId="1" priority="1" operator="notEqual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5" hidden="0" customWidth="1"/>
    <x:col min="4" max="4" width="13" hidden="0" customWidth="1"/>
    <x:col min="5" max="5" width="19" hidden="0" customWidth="1"/>
    <x:col min="6" max="6" width="24" hidden="0" customWidth="1"/>
    <x:col min="7" max="7" width="27" hidden="0" customWidth="1"/>
    <x:col min="8" max="8" width="38" hidden="0" customWidth="1"/>
    <x:col min="9" max="9" width="18" hidden="0" customWidth="1"/>
    <x:col min="10" max="10" width="18" hidden="0" customWidth="1"/>
    <x:col min="11" max="11" width="20" hidden="0" customWidth="1"/>
    <x:col min="12" max="12" width="45" hidden="0" customWidth="1"/>
    <x:col min="13" max="13" width="24" hidden="0" customWidth="1"/>
    <x:col min="14" max="14" width="30" hidden="0" customWidth="1"/>
    <x:col min="15" max="15" width="2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4" customHeight="1">
      <x:c r="A2" s="2" t="str">
        <x:v>Money in and out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4" customHeight="1">
      <x:c r="A4" s="1" t="str">
        <x:v>Record completed cash transactions only. Positive amounts; use one money column per row.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36" customHeight="1">
      <x:c r="A6" s="8" t="str">
        <x:v>Record ID</x:v>
      </x:c>
      <x:c r="B6" s="8" t="str">
        <x:v>Date</x:v>
      </x:c>
      <x:c r="C6" s="8" t="str">
        <x:v>Account</x:v>
      </x:c>
      <x:c r="D6" s="8" t="str">
        <x:v>Currency</x:v>
      </x:c>
      <x:c r="E6" s="8" t="str">
        <x:v>Type</x:v>
      </x:c>
      <x:c r="F6" s="8" t="str">
        <x:v>Category</x:v>
      </x:c>
      <x:c r="G6" s="8" t="str">
        <x:v>From / paid to</x:v>
      </x:c>
      <x:c r="H6" s="8" t="str">
        <x:v>Description</x:v>
      </x:c>
      <x:c r="I6" s="8" t="str">
        <x:v>Money in</x:v>
      </x:c>
      <x:c r="J6" s="8" t="str">
        <x:v>Money out</x:v>
      </x:c>
      <x:c r="K6" s="8" t="str">
        <x:v>Budget fund</x:v>
      </x:c>
      <x:c r="L6" s="8" t="str">
        <x:v>Receipt / proof link</x:v>
      </x:c>
      <x:c r="M6" s="8" t="str">
        <x:v>Transfer pair ID</x:v>
      </x:c>
      <x:c r="N6" s="8" t="str">
        <x:v>Notes / correction ref</x:v>
      </x:c>
      <x:c r="O6" s="8" t="str">
        <x:v>Review</x:v>
      </x:c>
    </x:row>
    <x:row r="7" ht="24" customHeight="1">
      <x:c r="A7" s="10"/>
      <x:c r="B7" s="5"/>
      <x:c r="C7" s="10"/>
      <x:c r="D7" s="10"/>
      <x:c r="E7" s="10"/>
      <x:c r="F7" s="10"/>
      <x:c r="G7" s="10"/>
      <x:c r="H7" s="10"/>
      <x:c r="I7" s="11"/>
      <x:c r="J7" s="11"/>
      <x:c r="K7" s="10"/>
      <x:c r="L7" s="10"/>
      <x:c r="M7" s="10"/>
      <x:c r="N7" s="10"/>
      <x:c r="O7" s="1" t="str">
        <x:f>IF(COUNTA(A7:N7)=0,"",IF(OR(A7="",B7="",C7="",NOT(ISNUMBER(D7)),NOT(ISNUMBER(E7))),"Complete required fields",IF(COUNTIFS($A$7:$A$506,A7)&gt;1,"Duplicate ID",IF(COUNTIFS('Accounts'!$A$7:$A$26,C7,'Accounts'!$B$7:$B$26,D7)&lt;&gt;1,"Check account/currency",IF(OR(I7&lt;0,J7&lt;0,AND(I7&gt;0,J7&gt;0),AND(I7=0,J7=0)),"Check amounts",IF(OR(AND(E7="Income",J7&gt;0),AND(E7="Expense",I7&gt;0),AND(E7="Transfer in",J7&gt;0),AND(E7="Transfer out",I7&gt;0)),"Check type/direction",IF(AND(OR(E7="Transfer in",E7="Transfer out"),M7=""),"Add transfer pair ID",IF(AND(OR(E7="Transfer in",E7="Transfer out"),COUNTIFS($M$7:$M$506,M7,$D$7:$D$506,D7)&lt;&gt;2),"Check transfer pair",IF(AND(E7="Expense",K7=""),"Assign budget fund",IF(AND(E7="Expense",L7=""),"Add receipt / proof",""))))))))))</x:f>
      </x:c>
    </x:row>
    <x:row r="8" ht="24" customHeight="1">
      <x:c r="A8" s="10"/>
      <x:c r="B8" s="5"/>
      <x:c r="C8" s="10"/>
      <x:c r="D8" s="10"/>
      <x:c r="E8" s="10"/>
      <x:c r="F8" s="10"/>
      <x:c r="G8" s="10"/>
      <x:c r="H8" s="10"/>
      <x:c r="I8" s="11"/>
      <x:c r="J8" s="11"/>
      <x:c r="K8" s="10"/>
      <x:c r="L8" s="10"/>
      <x:c r="M8" s="10"/>
      <x:c r="N8" s="10"/>
      <x:c r="O8" s="1" t="str">
        <x:f>IF(COUNTA(A8:N8)=0,"",IF(OR(A8="",B8="",C8="",NOT(ISNUMBER(D8)),NOT(ISNUMBER(E8))),"Complete required fields",IF(COUNTIFS($A$7:$A$506,A8)&gt;1,"Duplicate ID",IF(COUNTIFS('Accounts'!$A$7:$A$26,C8,'Accounts'!$B$7:$B$26,D8)&lt;&gt;1,"Check account/currency",IF(OR(I8&lt;0,J8&lt;0,AND(I8&gt;0,J8&gt;0),AND(I8=0,J8=0)),"Check amounts",IF(OR(AND(E8="Income",J8&gt;0),AND(E8="Expense",I8&gt;0),AND(E8="Transfer in",J8&gt;0),AND(E8="Transfer out",I8&gt;0)),"Check type/direction",IF(AND(OR(E8="Transfer in",E8="Transfer out"),M8=""),"Add transfer pair ID",IF(AND(OR(E8="Transfer in",E8="Transfer out"),COUNTIFS($M$7:$M$506,M8,$D$7:$D$506,D8)&lt;&gt;2),"Check transfer pair",IF(AND(E8="Expense",K8=""),"Assign budget fund",IF(AND(E8="Expense",L8=""),"Add receipt / proof",""))))))))))</x:f>
      </x:c>
    </x:row>
    <x:row r="9" ht="24" customHeight="1">
      <x:c r="A9" s="10"/>
      <x:c r="B9" s="5"/>
      <x:c r="C9" s="10"/>
      <x:c r="D9" s="10"/>
      <x:c r="E9" s="10"/>
      <x:c r="F9" s="10"/>
      <x:c r="G9" s="10"/>
      <x:c r="H9" s="10"/>
      <x:c r="I9" s="11"/>
      <x:c r="J9" s="11"/>
      <x:c r="K9" s="10"/>
      <x:c r="L9" s="10"/>
      <x:c r="M9" s="10"/>
      <x:c r="N9" s="10"/>
      <x:c r="O9" s="1" t="str">
        <x:f>IF(COUNTA(A9:N9)=0,"",IF(OR(A9="",B9="",C9="",NOT(ISNUMBER(D9)),NOT(ISNUMBER(E9))),"Complete required fields",IF(COUNTIFS($A$7:$A$506,A9)&gt;1,"Duplicate ID",IF(COUNTIFS('Accounts'!$A$7:$A$26,C9,'Accounts'!$B$7:$B$26,D9)&lt;&gt;1,"Check account/currency",IF(OR(I9&lt;0,J9&lt;0,AND(I9&gt;0,J9&gt;0),AND(I9=0,J9=0)),"Check amounts",IF(OR(AND(E9="Income",J9&gt;0),AND(E9="Expense",I9&gt;0),AND(E9="Transfer in",J9&gt;0),AND(E9="Transfer out",I9&gt;0)),"Check type/direction",IF(AND(OR(E9="Transfer in",E9="Transfer out"),M9=""),"Add transfer pair ID",IF(AND(OR(E9="Transfer in",E9="Transfer out"),COUNTIFS($M$7:$M$506,M9,$D$7:$D$506,D9)&lt;&gt;2),"Check transfer pair",IF(AND(E9="Expense",K9=""),"Assign budget fund",IF(AND(E9="Expense",L9=""),"Add receipt / proof",""))))))))))</x:f>
      </x:c>
    </x:row>
    <x:row r="10" ht="24" customHeight="1">
      <x:c r="A10" s="10"/>
      <x:c r="B10" s="5"/>
      <x:c r="C10" s="10"/>
      <x:c r="D10" s="10"/>
      <x:c r="E10" s="10"/>
      <x:c r="F10" s="10"/>
      <x:c r="G10" s="10"/>
      <x:c r="H10" s="10"/>
      <x:c r="I10" s="11"/>
      <x:c r="J10" s="11"/>
      <x:c r="K10" s="10"/>
      <x:c r="L10" s="10"/>
      <x:c r="M10" s="10"/>
      <x:c r="N10" s="10"/>
      <x:c r="O10" s="1" t="str">
        <x:f>IF(COUNTA(A10:N10)=0,"",IF(OR(A10="",B10="",C10="",NOT(ISNUMBER(D10)),NOT(ISNUMBER(E10))),"Complete required fields",IF(COUNTIFS($A$7:$A$506,A10)&gt;1,"Duplicate ID",IF(COUNTIFS('Accounts'!$A$7:$A$26,C10,'Accounts'!$B$7:$B$26,D10)&lt;&gt;1,"Check account/currency",IF(OR(I10&lt;0,J10&lt;0,AND(I10&gt;0,J10&gt;0),AND(I10=0,J10=0)),"Check amounts",IF(OR(AND(E10="Income",J10&gt;0),AND(E10="Expense",I10&gt;0),AND(E10="Transfer in",J10&gt;0),AND(E10="Transfer out",I10&gt;0)),"Check type/direction",IF(AND(OR(E10="Transfer in",E10="Transfer out"),M10=""),"Add transfer pair ID",IF(AND(OR(E10="Transfer in",E10="Transfer out"),COUNTIFS($M$7:$M$506,M10,$D$7:$D$506,D10)&lt;&gt;2),"Check transfer pair",IF(AND(E10="Expense",K10=""),"Assign budget fund",IF(AND(E10="Expense",L10=""),"Add receipt / proof",""))))))))))</x:f>
      </x:c>
    </x:row>
    <x:row r="11" ht="24" customHeight="1">
      <x:c r="A11" s="10"/>
      <x:c r="B11" s="5"/>
      <x:c r="C11" s="10"/>
      <x:c r="D11" s="10"/>
      <x:c r="E11" s="10"/>
      <x:c r="F11" s="10"/>
      <x:c r="G11" s="10"/>
      <x:c r="H11" s="10"/>
      <x:c r="I11" s="11"/>
      <x:c r="J11" s="11"/>
      <x:c r="K11" s="10"/>
      <x:c r="L11" s="10"/>
      <x:c r="M11" s="10"/>
      <x:c r="N11" s="10"/>
      <x:c r="O11" s="1" t="str">
        <x:f>IF(COUNTA(A11:N11)=0,"",IF(OR(A11="",B11="",C11="",NOT(ISNUMBER(D11)),NOT(ISNUMBER(E11))),"Complete required fields",IF(COUNTIFS($A$7:$A$506,A11)&gt;1,"Duplicate ID",IF(COUNTIFS('Accounts'!$A$7:$A$26,C11,'Accounts'!$B$7:$B$26,D11)&lt;&gt;1,"Check account/currency",IF(OR(I11&lt;0,J11&lt;0,AND(I11&gt;0,J11&gt;0),AND(I11=0,J11=0)),"Check amounts",IF(OR(AND(E11="Income",J11&gt;0),AND(E11="Expense",I11&gt;0),AND(E11="Transfer in",J11&gt;0),AND(E11="Transfer out",I11&gt;0)),"Check type/direction",IF(AND(OR(E11="Transfer in",E11="Transfer out"),M11=""),"Add transfer pair ID",IF(AND(OR(E11="Transfer in",E11="Transfer out"),COUNTIFS($M$7:$M$506,M11,$D$7:$D$506,D11)&lt;&gt;2),"Check transfer pair",IF(AND(E11="Expense",K11=""),"Assign budget fund",IF(AND(E11="Expense",L11=""),"Add receipt / proof",""))))))))))</x:f>
      </x:c>
    </x:row>
    <x:row r="12" ht="24" customHeight="1">
      <x:c r="A12" s="10"/>
      <x:c r="B12" s="5"/>
      <x:c r="C12" s="10"/>
      <x:c r="D12" s="10"/>
      <x:c r="E12" s="10"/>
      <x:c r="F12" s="10"/>
      <x:c r="G12" s="10"/>
      <x:c r="H12" s="10"/>
      <x:c r="I12" s="11"/>
      <x:c r="J12" s="11"/>
      <x:c r="K12" s="10"/>
      <x:c r="L12" s="10"/>
      <x:c r="M12" s="10"/>
      <x:c r="N12" s="10"/>
      <x:c r="O12" s="1" t="str">
        <x:f>IF(COUNTA(A12:N12)=0,"",IF(OR(A12="",B12="",C12="",NOT(ISNUMBER(D12)),NOT(ISNUMBER(E12))),"Complete required fields",IF(COUNTIFS($A$7:$A$506,A12)&gt;1,"Duplicate ID",IF(COUNTIFS('Accounts'!$A$7:$A$26,C12,'Accounts'!$B$7:$B$26,D12)&lt;&gt;1,"Check account/currency",IF(OR(I12&lt;0,J12&lt;0,AND(I12&gt;0,J12&gt;0),AND(I12=0,J12=0)),"Check amounts",IF(OR(AND(E12="Income",J12&gt;0),AND(E12="Expense",I12&gt;0),AND(E12="Transfer in",J12&gt;0),AND(E12="Transfer out",I12&gt;0)),"Check type/direction",IF(AND(OR(E12="Transfer in",E12="Transfer out"),M12=""),"Add transfer pair ID",IF(AND(OR(E12="Transfer in",E12="Transfer out"),COUNTIFS($M$7:$M$506,M12,$D$7:$D$506,D12)&lt;&gt;2),"Check transfer pair",IF(AND(E12="Expense",K12=""),"Assign budget fund",IF(AND(E12="Expense",L12=""),"Add receipt / proof",""))))))))))</x:f>
      </x:c>
    </x:row>
    <x:row r="13" ht="24" customHeight="1">
      <x:c r="A13" s="10"/>
      <x:c r="B13" s="5"/>
      <x:c r="C13" s="10"/>
      <x:c r="D13" s="10"/>
      <x:c r="E13" s="10"/>
      <x:c r="F13" s="10"/>
      <x:c r="G13" s="10"/>
      <x:c r="H13" s="10"/>
      <x:c r="I13" s="11"/>
      <x:c r="J13" s="11"/>
      <x:c r="K13" s="10"/>
      <x:c r="L13" s="10"/>
      <x:c r="M13" s="10"/>
      <x:c r="N13" s="10"/>
      <x:c r="O13" s="1" t="str">
        <x:f>IF(COUNTA(A13:N13)=0,"",IF(OR(A13="",B13="",C13="",NOT(ISNUMBER(D13)),NOT(ISNUMBER(E13))),"Complete required fields",IF(COUNTIFS($A$7:$A$506,A13)&gt;1,"Duplicate ID",IF(COUNTIFS('Accounts'!$A$7:$A$26,C13,'Accounts'!$B$7:$B$26,D13)&lt;&gt;1,"Check account/currency",IF(OR(I13&lt;0,J13&lt;0,AND(I13&gt;0,J13&gt;0),AND(I13=0,J13=0)),"Check amounts",IF(OR(AND(E13="Income",J13&gt;0),AND(E13="Expense",I13&gt;0),AND(E13="Transfer in",J13&gt;0),AND(E13="Transfer out",I13&gt;0)),"Check type/direction",IF(AND(OR(E13="Transfer in",E13="Transfer out"),M13=""),"Add transfer pair ID",IF(AND(OR(E13="Transfer in",E13="Transfer out"),COUNTIFS($M$7:$M$506,M13,$D$7:$D$506,D13)&lt;&gt;2),"Check transfer pair",IF(AND(E13="Expense",K13=""),"Assign budget fund",IF(AND(E13="Expense",L13=""),"Add receipt / proof",""))))))))))</x:f>
      </x:c>
    </x:row>
    <x:row r="14" ht="24" customHeight="1">
      <x:c r="A14" s="10"/>
      <x:c r="B14" s="5"/>
      <x:c r="C14" s="10"/>
      <x:c r="D14" s="10"/>
      <x:c r="E14" s="10"/>
      <x:c r="F14" s="10"/>
      <x:c r="G14" s="10"/>
      <x:c r="H14" s="10"/>
      <x:c r="I14" s="11"/>
      <x:c r="J14" s="11"/>
      <x:c r="K14" s="10"/>
      <x:c r="L14" s="10"/>
      <x:c r="M14" s="10"/>
      <x:c r="N14" s="10"/>
      <x:c r="O14" s="1" t="str">
        <x:f>IF(COUNTA(A14:N14)=0,"",IF(OR(A14="",B14="",C14="",NOT(ISNUMBER(D14)),NOT(ISNUMBER(E14))),"Complete required fields",IF(COUNTIFS($A$7:$A$506,A14)&gt;1,"Duplicate ID",IF(COUNTIFS('Accounts'!$A$7:$A$26,C14,'Accounts'!$B$7:$B$26,D14)&lt;&gt;1,"Check account/currency",IF(OR(I14&lt;0,J14&lt;0,AND(I14&gt;0,J14&gt;0),AND(I14=0,J14=0)),"Check amounts",IF(OR(AND(E14="Income",J14&gt;0),AND(E14="Expense",I14&gt;0),AND(E14="Transfer in",J14&gt;0),AND(E14="Transfer out",I14&gt;0)),"Check type/direction",IF(AND(OR(E14="Transfer in",E14="Transfer out"),M14=""),"Add transfer pair ID",IF(AND(OR(E14="Transfer in",E14="Transfer out"),COUNTIFS($M$7:$M$506,M14,$D$7:$D$506,D14)&lt;&gt;2),"Check transfer pair",IF(AND(E14="Expense",K14=""),"Assign budget fund",IF(AND(E14="Expense",L14=""),"Add receipt / proof",""))))))))))</x:f>
      </x:c>
    </x:row>
    <x:row r="15" ht="24" customHeight="1">
      <x:c r="A15" s="10"/>
      <x:c r="B15" s="5"/>
      <x:c r="C15" s="10"/>
      <x:c r="D15" s="10"/>
      <x:c r="E15" s="10"/>
      <x:c r="F15" s="10"/>
      <x:c r="G15" s="10"/>
      <x:c r="H15" s="10"/>
      <x:c r="I15" s="11"/>
      <x:c r="J15" s="11"/>
      <x:c r="K15" s="10"/>
      <x:c r="L15" s="10"/>
      <x:c r="M15" s="10"/>
      <x:c r="N15" s="10"/>
      <x:c r="O15" s="1" t="str">
        <x:f>IF(COUNTA(A15:N15)=0,"",IF(OR(A15="",B15="",C15="",NOT(ISNUMBER(D15)),NOT(ISNUMBER(E15))),"Complete required fields",IF(COUNTIFS($A$7:$A$506,A15)&gt;1,"Duplicate ID",IF(COUNTIFS('Accounts'!$A$7:$A$26,C15,'Accounts'!$B$7:$B$26,D15)&lt;&gt;1,"Check account/currency",IF(OR(I15&lt;0,J15&lt;0,AND(I15&gt;0,J15&gt;0),AND(I15=0,J15=0)),"Check amounts",IF(OR(AND(E15="Income",J15&gt;0),AND(E15="Expense",I15&gt;0),AND(E15="Transfer in",J15&gt;0),AND(E15="Transfer out",I15&gt;0)),"Check type/direction",IF(AND(OR(E15="Transfer in",E15="Transfer out"),M15=""),"Add transfer pair ID",IF(AND(OR(E15="Transfer in",E15="Transfer out"),COUNTIFS($M$7:$M$506,M15,$D$7:$D$506,D15)&lt;&gt;2),"Check transfer pair",IF(AND(E15="Expense",K15=""),"Assign budget fund",IF(AND(E15="Expense",L15=""),"Add receipt / proof",""))))))))))</x:f>
      </x:c>
    </x:row>
    <x:row r="16" ht="24" customHeight="1">
      <x:c r="A16" s="10"/>
      <x:c r="B16" s="5"/>
      <x:c r="C16" s="10"/>
      <x:c r="D16" s="10"/>
      <x:c r="E16" s="10"/>
      <x:c r="F16" s="10"/>
      <x:c r="G16" s="10"/>
      <x:c r="H16" s="10"/>
      <x:c r="I16" s="11"/>
      <x:c r="J16" s="11"/>
      <x:c r="K16" s="10"/>
      <x:c r="L16" s="10"/>
      <x:c r="M16" s="10"/>
      <x:c r="N16" s="10"/>
      <x:c r="O16" s="1" t="str">
        <x:f>IF(COUNTA(A16:N16)=0,"",IF(OR(A16="",B16="",C16="",NOT(ISNUMBER(D16)),NOT(ISNUMBER(E16))),"Complete required fields",IF(COUNTIFS($A$7:$A$506,A16)&gt;1,"Duplicate ID",IF(COUNTIFS('Accounts'!$A$7:$A$26,C16,'Accounts'!$B$7:$B$26,D16)&lt;&gt;1,"Check account/currency",IF(OR(I16&lt;0,J16&lt;0,AND(I16&gt;0,J16&gt;0),AND(I16=0,J16=0)),"Check amounts",IF(OR(AND(E16="Income",J16&gt;0),AND(E16="Expense",I16&gt;0),AND(E16="Transfer in",J16&gt;0),AND(E16="Transfer out",I16&gt;0)),"Check type/direction",IF(AND(OR(E16="Transfer in",E16="Transfer out"),M16=""),"Add transfer pair ID",IF(AND(OR(E16="Transfer in",E16="Transfer out"),COUNTIFS($M$7:$M$506,M16,$D$7:$D$506,D16)&lt;&gt;2),"Check transfer pair",IF(AND(E16="Expense",K16=""),"Assign budget fund",IF(AND(E16="Expense",L16=""),"Add receipt / proof",""))))))))))</x:f>
      </x:c>
    </x:row>
    <x:row r="17" ht="24" customHeight="1">
      <x:c r="A17" s="10"/>
      <x:c r="B17" s="5"/>
      <x:c r="C17" s="10"/>
      <x:c r="D17" s="10"/>
      <x:c r="E17" s="10"/>
      <x:c r="F17" s="10"/>
      <x:c r="G17" s="10"/>
      <x:c r="H17" s="10"/>
      <x:c r="I17" s="11"/>
      <x:c r="J17" s="11"/>
      <x:c r="K17" s="10"/>
      <x:c r="L17" s="10"/>
      <x:c r="M17" s="10"/>
      <x:c r="N17" s="10"/>
      <x:c r="O17" s="1" t="str">
        <x:f>IF(COUNTA(A17:N17)=0,"",IF(OR(A17="",B17="",C17="",NOT(ISNUMBER(D17)),NOT(ISNUMBER(E17))),"Complete required fields",IF(COUNTIFS($A$7:$A$506,A17)&gt;1,"Duplicate ID",IF(COUNTIFS('Accounts'!$A$7:$A$26,C17,'Accounts'!$B$7:$B$26,D17)&lt;&gt;1,"Check account/currency",IF(OR(I17&lt;0,J17&lt;0,AND(I17&gt;0,J17&gt;0),AND(I17=0,J17=0)),"Check amounts",IF(OR(AND(E17="Income",J17&gt;0),AND(E17="Expense",I17&gt;0),AND(E17="Transfer in",J17&gt;0),AND(E17="Transfer out",I17&gt;0)),"Check type/direction",IF(AND(OR(E17="Transfer in",E17="Transfer out"),M17=""),"Add transfer pair ID",IF(AND(OR(E17="Transfer in",E17="Transfer out"),COUNTIFS($M$7:$M$506,M17,$D$7:$D$506,D17)&lt;&gt;2),"Check transfer pair",IF(AND(E17="Expense",K17=""),"Assign budget fund",IF(AND(E17="Expense",L17=""),"Add receipt / proof",""))))))))))</x:f>
      </x:c>
    </x:row>
    <x:row r="18" ht="24" customHeight="1">
      <x:c r="A18" s="10"/>
      <x:c r="B18" s="5"/>
      <x:c r="C18" s="10"/>
      <x:c r="D18" s="10"/>
      <x:c r="E18" s="10"/>
      <x:c r="F18" s="10"/>
      <x:c r="G18" s="10"/>
      <x:c r="H18" s="10"/>
      <x:c r="I18" s="11"/>
      <x:c r="J18" s="11"/>
      <x:c r="K18" s="10"/>
      <x:c r="L18" s="10"/>
      <x:c r="M18" s="10"/>
      <x:c r="N18" s="10"/>
      <x:c r="O18" s="1" t="str">
        <x:f>IF(COUNTA(A18:N18)=0,"",IF(OR(A18="",B18="",C18="",NOT(ISNUMBER(D18)),NOT(ISNUMBER(E18))),"Complete required fields",IF(COUNTIFS($A$7:$A$506,A18)&gt;1,"Duplicate ID",IF(COUNTIFS('Accounts'!$A$7:$A$26,C18,'Accounts'!$B$7:$B$26,D18)&lt;&gt;1,"Check account/currency",IF(OR(I18&lt;0,J18&lt;0,AND(I18&gt;0,J18&gt;0),AND(I18=0,J18=0)),"Check amounts",IF(OR(AND(E18="Income",J18&gt;0),AND(E18="Expense",I18&gt;0),AND(E18="Transfer in",J18&gt;0),AND(E18="Transfer out",I18&gt;0)),"Check type/direction",IF(AND(OR(E18="Transfer in",E18="Transfer out"),M18=""),"Add transfer pair ID",IF(AND(OR(E18="Transfer in",E18="Transfer out"),COUNTIFS($M$7:$M$506,M18,$D$7:$D$506,D18)&lt;&gt;2),"Check transfer pair",IF(AND(E18="Expense",K18=""),"Assign budget fund",IF(AND(E18="Expense",L18=""),"Add receipt / proof",""))))))))))</x:f>
      </x:c>
    </x:row>
    <x:row r="19" ht="24" customHeight="1">
      <x:c r="A19" s="10"/>
      <x:c r="B19" s="5"/>
      <x:c r="C19" s="10"/>
      <x:c r="D19" s="10"/>
      <x:c r="E19" s="10"/>
      <x:c r="F19" s="10"/>
      <x:c r="G19" s="10"/>
      <x:c r="H19" s="10"/>
      <x:c r="I19" s="11"/>
      <x:c r="J19" s="11"/>
      <x:c r="K19" s="10"/>
      <x:c r="L19" s="10"/>
      <x:c r="M19" s="10"/>
      <x:c r="N19" s="10"/>
      <x:c r="O19" s="1" t="str">
        <x:f>IF(COUNTA(A19:N19)=0,"",IF(OR(A19="",B19="",C19="",NOT(ISNUMBER(D19)),NOT(ISNUMBER(E19))),"Complete required fields",IF(COUNTIFS($A$7:$A$506,A19)&gt;1,"Duplicate ID",IF(COUNTIFS('Accounts'!$A$7:$A$26,C19,'Accounts'!$B$7:$B$26,D19)&lt;&gt;1,"Check account/currency",IF(OR(I19&lt;0,J19&lt;0,AND(I19&gt;0,J19&gt;0),AND(I19=0,J19=0)),"Check amounts",IF(OR(AND(E19="Income",J19&gt;0),AND(E19="Expense",I19&gt;0),AND(E19="Transfer in",J19&gt;0),AND(E19="Transfer out",I19&gt;0)),"Check type/direction",IF(AND(OR(E19="Transfer in",E19="Transfer out"),M19=""),"Add transfer pair ID",IF(AND(OR(E19="Transfer in",E19="Transfer out"),COUNTIFS($M$7:$M$506,M19,$D$7:$D$506,D19)&lt;&gt;2),"Check transfer pair",IF(AND(E19="Expense",K19=""),"Assign budget fund",IF(AND(E19="Expense",L19=""),"Add receipt / proof",""))))))))))</x:f>
      </x:c>
    </x:row>
    <x:row r="20" ht="24" customHeight="1">
      <x:c r="A20" s="10"/>
      <x:c r="B20" s="5"/>
      <x:c r="C20" s="10"/>
      <x:c r="D20" s="10"/>
      <x:c r="E20" s="10"/>
      <x:c r="F20" s="10"/>
      <x:c r="G20" s="10"/>
      <x:c r="H20" s="10"/>
      <x:c r="I20" s="11"/>
      <x:c r="J20" s="11"/>
      <x:c r="K20" s="10"/>
      <x:c r="L20" s="10"/>
      <x:c r="M20" s="10"/>
      <x:c r="N20" s="10"/>
      <x:c r="O20" s="1" t="str">
        <x:f>IF(COUNTA(A20:N20)=0,"",IF(OR(A20="",B20="",C20="",NOT(ISNUMBER(D20)),NOT(ISNUMBER(E20))),"Complete required fields",IF(COUNTIFS($A$7:$A$506,A20)&gt;1,"Duplicate ID",IF(COUNTIFS('Accounts'!$A$7:$A$26,C20,'Accounts'!$B$7:$B$26,D20)&lt;&gt;1,"Check account/currency",IF(OR(I20&lt;0,J20&lt;0,AND(I20&gt;0,J20&gt;0),AND(I20=0,J20=0)),"Check amounts",IF(OR(AND(E20="Income",J20&gt;0),AND(E20="Expense",I20&gt;0),AND(E20="Transfer in",J20&gt;0),AND(E20="Transfer out",I20&gt;0)),"Check type/direction",IF(AND(OR(E20="Transfer in",E20="Transfer out"),M20=""),"Add transfer pair ID",IF(AND(OR(E20="Transfer in",E20="Transfer out"),COUNTIFS($M$7:$M$506,M20,$D$7:$D$506,D20)&lt;&gt;2),"Check transfer pair",IF(AND(E20="Expense",K20=""),"Assign budget fund",IF(AND(E20="Expense",L20=""),"Add receipt / proof",""))))))))))</x:f>
      </x:c>
    </x:row>
    <x:row r="21" ht="24" customHeight="1">
      <x:c r="A21" s="10"/>
      <x:c r="B21" s="5"/>
      <x:c r="C21" s="10"/>
      <x:c r="D21" s="10"/>
      <x:c r="E21" s="10"/>
      <x:c r="F21" s="10"/>
      <x:c r="G21" s="10"/>
      <x:c r="H21" s="10"/>
      <x:c r="I21" s="11"/>
      <x:c r="J21" s="11"/>
      <x:c r="K21" s="10"/>
      <x:c r="L21" s="10"/>
      <x:c r="M21" s="10"/>
      <x:c r="N21" s="10"/>
      <x:c r="O21" s="1" t="str">
        <x:f>IF(COUNTA(A21:N21)=0,"",IF(OR(A21="",B21="",C21="",NOT(ISNUMBER(D21)),NOT(ISNUMBER(E21))),"Complete required fields",IF(COUNTIFS($A$7:$A$506,A21)&gt;1,"Duplicate ID",IF(COUNTIFS('Accounts'!$A$7:$A$26,C21,'Accounts'!$B$7:$B$26,D21)&lt;&gt;1,"Check account/currency",IF(OR(I21&lt;0,J21&lt;0,AND(I21&gt;0,J21&gt;0),AND(I21=0,J21=0)),"Check amounts",IF(OR(AND(E21="Income",J21&gt;0),AND(E21="Expense",I21&gt;0),AND(E21="Transfer in",J21&gt;0),AND(E21="Transfer out",I21&gt;0)),"Check type/direction",IF(AND(OR(E21="Transfer in",E21="Transfer out"),M21=""),"Add transfer pair ID",IF(AND(OR(E21="Transfer in",E21="Transfer out"),COUNTIFS($M$7:$M$506,M21,$D$7:$D$506,D21)&lt;&gt;2),"Check transfer pair",IF(AND(E21="Expense",K21=""),"Assign budget fund",IF(AND(E21="Expense",L21=""),"Add receipt / proof",""))))))))))</x:f>
      </x:c>
    </x:row>
    <x:row r="22" ht="24" customHeight="1">
      <x:c r="A22" s="10"/>
      <x:c r="B22" s="5"/>
      <x:c r="C22" s="10"/>
      <x:c r="D22" s="10"/>
      <x:c r="E22" s="10"/>
      <x:c r="F22" s="10"/>
      <x:c r="G22" s="10"/>
      <x:c r="H22" s="10"/>
      <x:c r="I22" s="11"/>
      <x:c r="J22" s="11"/>
      <x:c r="K22" s="10"/>
      <x:c r="L22" s="10"/>
      <x:c r="M22" s="10"/>
      <x:c r="N22" s="10"/>
      <x:c r="O22" s="1" t="str">
        <x:f>IF(COUNTA(A22:N22)=0,"",IF(OR(A22="",B22="",C22="",NOT(ISNUMBER(D22)),NOT(ISNUMBER(E22))),"Complete required fields",IF(COUNTIFS($A$7:$A$506,A22)&gt;1,"Duplicate ID",IF(COUNTIFS('Accounts'!$A$7:$A$26,C22,'Accounts'!$B$7:$B$26,D22)&lt;&gt;1,"Check account/currency",IF(OR(I22&lt;0,J22&lt;0,AND(I22&gt;0,J22&gt;0),AND(I22=0,J22=0)),"Check amounts",IF(OR(AND(E22="Income",J22&gt;0),AND(E22="Expense",I22&gt;0),AND(E22="Transfer in",J22&gt;0),AND(E22="Transfer out",I22&gt;0)),"Check type/direction",IF(AND(OR(E22="Transfer in",E22="Transfer out"),M22=""),"Add transfer pair ID",IF(AND(OR(E22="Transfer in",E22="Transfer out"),COUNTIFS($M$7:$M$506,M22,$D$7:$D$506,D22)&lt;&gt;2),"Check transfer pair",IF(AND(E22="Expense",K22=""),"Assign budget fund",IF(AND(E22="Expense",L22=""),"Add receipt / proof",""))))))))))</x:f>
      </x:c>
    </x:row>
    <x:row r="23" ht="24" customHeight="1">
      <x:c r="A23" s="10"/>
      <x:c r="B23" s="5"/>
      <x:c r="C23" s="10"/>
      <x:c r="D23" s="10"/>
      <x:c r="E23" s="10"/>
      <x:c r="F23" s="10"/>
      <x:c r="G23" s="10"/>
      <x:c r="H23" s="10"/>
      <x:c r="I23" s="11"/>
      <x:c r="J23" s="11"/>
      <x:c r="K23" s="10"/>
      <x:c r="L23" s="10"/>
      <x:c r="M23" s="10"/>
      <x:c r="N23" s="10"/>
      <x:c r="O23" s="1" t="str">
        <x:f>IF(COUNTA(A23:N23)=0,"",IF(OR(A23="",B23="",C23="",NOT(ISNUMBER(D23)),NOT(ISNUMBER(E23))),"Complete required fields",IF(COUNTIFS($A$7:$A$506,A23)&gt;1,"Duplicate ID",IF(COUNTIFS('Accounts'!$A$7:$A$26,C23,'Accounts'!$B$7:$B$26,D23)&lt;&gt;1,"Check account/currency",IF(OR(I23&lt;0,J23&lt;0,AND(I23&gt;0,J23&gt;0),AND(I23=0,J23=0)),"Check amounts",IF(OR(AND(E23="Income",J23&gt;0),AND(E23="Expense",I23&gt;0),AND(E23="Transfer in",J23&gt;0),AND(E23="Transfer out",I23&gt;0)),"Check type/direction",IF(AND(OR(E23="Transfer in",E23="Transfer out"),M23=""),"Add transfer pair ID",IF(AND(OR(E23="Transfer in",E23="Transfer out"),COUNTIFS($M$7:$M$506,M23,$D$7:$D$506,D23)&lt;&gt;2),"Check transfer pair",IF(AND(E23="Expense",K23=""),"Assign budget fund",IF(AND(E23="Expense",L23=""),"Add receipt / proof",""))))))))))</x:f>
      </x:c>
    </x:row>
    <x:row r="24" ht="24" customHeight="1">
      <x:c r="A24" s="10"/>
      <x:c r="B24" s="5"/>
      <x:c r="C24" s="10"/>
      <x:c r="D24" s="10"/>
      <x:c r="E24" s="10"/>
      <x:c r="F24" s="10"/>
      <x:c r="G24" s="10"/>
      <x:c r="H24" s="10"/>
      <x:c r="I24" s="11"/>
      <x:c r="J24" s="11"/>
      <x:c r="K24" s="10"/>
      <x:c r="L24" s="10"/>
      <x:c r="M24" s="10"/>
      <x:c r="N24" s="10"/>
      <x:c r="O24" s="1" t="str">
        <x:f>IF(COUNTA(A24:N24)=0,"",IF(OR(A24="",B24="",C24="",NOT(ISNUMBER(D24)),NOT(ISNUMBER(E24))),"Complete required fields",IF(COUNTIFS($A$7:$A$506,A24)&gt;1,"Duplicate ID",IF(COUNTIFS('Accounts'!$A$7:$A$26,C24,'Accounts'!$B$7:$B$26,D24)&lt;&gt;1,"Check account/currency",IF(OR(I24&lt;0,J24&lt;0,AND(I24&gt;0,J24&gt;0),AND(I24=0,J24=0)),"Check amounts",IF(OR(AND(E24="Income",J24&gt;0),AND(E24="Expense",I24&gt;0),AND(E24="Transfer in",J24&gt;0),AND(E24="Transfer out",I24&gt;0)),"Check type/direction",IF(AND(OR(E24="Transfer in",E24="Transfer out"),M24=""),"Add transfer pair ID",IF(AND(OR(E24="Transfer in",E24="Transfer out"),COUNTIFS($M$7:$M$506,M24,$D$7:$D$506,D24)&lt;&gt;2),"Check transfer pair",IF(AND(E24="Expense",K24=""),"Assign budget fund",IF(AND(E24="Expense",L24=""),"Add receipt / proof",""))))))))))</x:f>
      </x:c>
    </x:row>
    <x:row r="25" ht="24" customHeight="1">
      <x:c r="A25" s="10"/>
      <x:c r="B25" s="5"/>
      <x:c r="C25" s="10"/>
      <x:c r="D25" s="10"/>
      <x:c r="E25" s="10"/>
      <x:c r="F25" s="10"/>
      <x:c r="G25" s="10"/>
      <x:c r="H25" s="10"/>
      <x:c r="I25" s="11"/>
      <x:c r="J25" s="11"/>
      <x:c r="K25" s="10"/>
      <x:c r="L25" s="10"/>
      <x:c r="M25" s="10"/>
      <x:c r="N25" s="10"/>
      <x:c r="O25" s="1" t="str">
        <x:f>IF(COUNTA(A25:N25)=0,"",IF(OR(A25="",B25="",C25="",NOT(ISNUMBER(D25)),NOT(ISNUMBER(E25))),"Complete required fields",IF(COUNTIFS($A$7:$A$506,A25)&gt;1,"Duplicate ID",IF(COUNTIFS('Accounts'!$A$7:$A$26,C25,'Accounts'!$B$7:$B$26,D25)&lt;&gt;1,"Check account/currency",IF(OR(I25&lt;0,J25&lt;0,AND(I25&gt;0,J25&gt;0),AND(I25=0,J25=0)),"Check amounts",IF(OR(AND(E25="Income",J25&gt;0),AND(E25="Expense",I25&gt;0),AND(E25="Transfer in",J25&gt;0),AND(E25="Transfer out",I25&gt;0)),"Check type/direction",IF(AND(OR(E25="Transfer in",E25="Transfer out"),M25=""),"Add transfer pair ID",IF(AND(OR(E25="Transfer in",E25="Transfer out"),COUNTIFS($M$7:$M$506,M25,$D$7:$D$506,D25)&lt;&gt;2),"Check transfer pair",IF(AND(E25="Expense",K25=""),"Assign budget fund",IF(AND(E25="Expense",L25=""),"Add receipt / proof",""))))))))))</x:f>
      </x:c>
    </x:row>
    <x:row r="26" ht="24" customHeight="1">
      <x:c r="A26" s="10"/>
      <x:c r="B26" s="5"/>
      <x:c r="C26" s="10"/>
      <x:c r="D26" s="10"/>
      <x:c r="E26" s="10"/>
      <x:c r="F26" s="10"/>
      <x:c r="G26" s="10"/>
      <x:c r="H26" s="10"/>
      <x:c r="I26" s="11"/>
      <x:c r="J26" s="11"/>
      <x:c r="K26" s="10"/>
      <x:c r="L26" s="10"/>
      <x:c r="M26" s="10"/>
      <x:c r="N26" s="10"/>
      <x:c r="O26" s="1" t="str">
        <x:f>IF(COUNTA(A26:N26)=0,"",IF(OR(A26="",B26="",C26="",NOT(ISNUMBER(D26)),NOT(ISNUMBER(E26))),"Complete required fields",IF(COUNTIFS($A$7:$A$506,A26)&gt;1,"Duplicate ID",IF(COUNTIFS('Accounts'!$A$7:$A$26,C26,'Accounts'!$B$7:$B$26,D26)&lt;&gt;1,"Check account/currency",IF(OR(I26&lt;0,J26&lt;0,AND(I26&gt;0,J26&gt;0),AND(I26=0,J26=0)),"Check amounts",IF(OR(AND(E26="Income",J26&gt;0),AND(E26="Expense",I26&gt;0),AND(E26="Transfer in",J26&gt;0),AND(E26="Transfer out",I26&gt;0)),"Check type/direction",IF(AND(OR(E26="Transfer in",E26="Transfer out"),M26=""),"Add transfer pair ID",IF(AND(OR(E26="Transfer in",E26="Transfer out"),COUNTIFS($M$7:$M$506,M26,$D$7:$D$506,D26)&lt;&gt;2),"Check transfer pair",IF(AND(E26="Expense",K26=""),"Assign budget fund",IF(AND(E26="Expense",L26=""),"Add receipt / proof",""))))))))))</x:f>
      </x:c>
    </x:row>
    <x:row r="27" ht="24" customHeight="1">
      <x:c r="A27" s="10"/>
      <x:c r="B27" s="5"/>
      <x:c r="C27" s="10"/>
      <x:c r="D27" s="10"/>
      <x:c r="E27" s="10"/>
      <x:c r="F27" s="10"/>
      <x:c r="G27" s="10"/>
      <x:c r="H27" s="10"/>
      <x:c r="I27" s="11"/>
      <x:c r="J27" s="11"/>
      <x:c r="K27" s="10"/>
      <x:c r="L27" s="10"/>
      <x:c r="M27" s="10"/>
      <x:c r="N27" s="10"/>
      <x:c r="O27" s="1" t="str">
        <x:f>IF(COUNTA(A27:N27)=0,"",IF(OR(A27="",B27="",C27="",NOT(ISNUMBER(D27)),NOT(ISNUMBER(E27))),"Complete required fields",IF(COUNTIFS($A$7:$A$506,A27)&gt;1,"Duplicate ID",IF(COUNTIFS('Accounts'!$A$7:$A$26,C27,'Accounts'!$B$7:$B$26,D27)&lt;&gt;1,"Check account/currency",IF(OR(I27&lt;0,J27&lt;0,AND(I27&gt;0,J27&gt;0),AND(I27=0,J27=0)),"Check amounts",IF(OR(AND(E27="Income",J27&gt;0),AND(E27="Expense",I27&gt;0),AND(E27="Transfer in",J27&gt;0),AND(E27="Transfer out",I27&gt;0)),"Check type/direction",IF(AND(OR(E27="Transfer in",E27="Transfer out"),M27=""),"Add transfer pair ID",IF(AND(OR(E27="Transfer in",E27="Transfer out"),COUNTIFS($M$7:$M$506,M27,$D$7:$D$506,D27)&lt;&gt;2),"Check transfer pair",IF(AND(E27="Expense",K27=""),"Assign budget fund",IF(AND(E27="Expense",L27=""),"Add receipt / proof",""))))))))))</x:f>
      </x:c>
    </x:row>
    <x:row r="28" ht="24" customHeight="1">
      <x:c r="A28" s="10"/>
      <x:c r="B28" s="5"/>
      <x:c r="C28" s="10"/>
      <x:c r="D28" s="10"/>
      <x:c r="E28" s="10"/>
      <x:c r="F28" s="10"/>
      <x:c r="G28" s="10"/>
      <x:c r="H28" s="10"/>
      <x:c r="I28" s="11"/>
      <x:c r="J28" s="11"/>
      <x:c r="K28" s="10"/>
      <x:c r="L28" s="10"/>
      <x:c r="M28" s="10"/>
      <x:c r="N28" s="10"/>
      <x:c r="O28" s="1" t="str">
        <x:f>IF(COUNTA(A28:N28)=0,"",IF(OR(A28="",B28="",C28="",NOT(ISNUMBER(D28)),NOT(ISNUMBER(E28))),"Complete required fields",IF(COUNTIFS($A$7:$A$506,A28)&gt;1,"Duplicate ID",IF(COUNTIFS('Accounts'!$A$7:$A$26,C28,'Accounts'!$B$7:$B$26,D28)&lt;&gt;1,"Check account/currency",IF(OR(I28&lt;0,J28&lt;0,AND(I28&gt;0,J28&gt;0),AND(I28=0,J28=0)),"Check amounts",IF(OR(AND(E28="Income",J28&gt;0),AND(E28="Expense",I28&gt;0),AND(E28="Transfer in",J28&gt;0),AND(E28="Transfer out",I28&gt;0)),"Check type/direction",IF(AND(OR(E28="Transfer in",E28="Transfer out"),M28=""),"Add transfer pair ID",IF(AND(OR(E28="Transfer in",E28="Transfer out"),COUNTIFS($M$7:$M$506,M28,$D$7:$D$506,D28)&lt;&gt;2),"Check transfer pair",IF(AND(E28="Expense",K28=""),"Assign budget fund",IF(AND(E28="Expense",L28=""),"Add receipt / proof",""))))))))))</x:f>
      </x:c>
    </x:row>
    <x:row r="29" ht="24" customHeight="1">
      <x:c r="A29" s="10"/>
      <x:c r="B29" s="5"/>
      <x:c r="C29" s="10"/>
      <x:c r="D29" s="10"/>
      <x:c r="E29" s="10"/>
      <x:c r="F29" s="10"/>
      <x:c r="G29" s="10"/>
      <x:c r="H29" s="10"/>
      <x:c r="I29" s="11"/>
      <x:c r="J29" s="11"/>
      <x:c r="K29" s="10"/>
      <x:c r="L29" s="10"/>
      <x:c r="M29" s="10"/>
      <x:c r="N29" s="10"/>
      <x:c r="O29" s="1" t="str">
        <x:f>IF(COUNTA(A29:N29)=0,"",IF(OR(A29="",B29="",C29="",NOT(ISNUMBER(D29)),NOT(ISNUMBER(E29))),"Complete required fields",IF(COUNTIFS($A$7:$A$506,A29)&gt;1,"Duplicate ID",IF(COUNTIFS('Accounts'!$A$7:$A$26,C29,'Accounts'!$B$7:$B$26,D29)&lt;&gt;1,"Check account/currency",IF(OR(I29&lt;0,J29&lt;0,AND(I29&gt;0,J29&gt;0),AND(I29=0,J29=0)),"Check amounts",IF(OR(AND(E29="Income",J29&gt;0),AND(E29="Expense",I29&gt;0),AND(E29="Transfer in",J29&gt;0),AND(E29="Transfer out",I29&gt;0)),"Check type/direction",IF(AND(OR(E29="Transfer in",E29="Transfer out"),M29=""),"Add transfer pair ID",IF(AND(OR(E29="Transfer in",E29="Transfer out"),COUNTIFS($M$7:$M$506,M29,$D$7:$D$506,D29)&lt;&gt;2),"Check transfer pair",IF(AND(E29="Expense",K29=""),"Assign budget fund",IF(AND(E29="Expense",L29=""),"Add receipt / proof",""))))))))))</x:f>
      </x:c>
    </x:row>
    <x:row r="30" ht="24" customHeight="1">
      <x:c r="A30" s="10"/>
      <x:c r="B30" s="5"/>
      <x:c r="C30" s="10"/>
      <x:c r="D30" s="10"/>
      <x:c r="E30" s="10"/>
      <x:c r="F30" s="10"/>
      <x:c r="G30" s="10"/>
      <x:c r="H30" s="10"/>
      <x:c r="I30" s="11"/>
      <x:c r="J30" s="11"/>
      <x:c r="K30" s="10"/>
      <x:c r="L30" s="10"/>
      <x:c r="M30" s="10"/>
      <x:c r="N30" s="10"/>
      <x:c r="O30" s="1" t="str">
        <x:f>IF(COUNTA(A30:N30)=0,"",IF(OR(A30="",B30="",C30="",NOT(ISNUMBER(D30)),NOT(ISNUMBER(E30))),"Complete required fields",IF(COUNTIFS($A$7:$A$506,A30)&gt;1,"Duplicate ID",IF(COUNTIFS('Accounts'!$A$7:$A$26,C30,'Accounts'!$B$7:$B$26,D30)&lt;&gt;1,"Check account/currency",IF(OR(I30&lt;0,J30&lt;0,AND(I30&gt;0,J30&gt;0),AND(I30=0,J30=0)),"Check amounts",IF(OR(AND(E30="Income",J30&gt;0),AND(E30="Expense",I30&gt;0),AND(E30="Transfer in",J30&gt;0),AND(E30="Transfer out",I30&gt;0)),"Check type/direction",IF(AND(OR(E30="Transfer in",E30="Transfer out"),M30=""),"Add transfer pair ID",IF(AND(OR(E30="Transfer in",E30="Transfer out"),COUNTIFS($M$7:$M$506,M30,$D$7:$D$506,D30)&lt;&gt;2),"Check transfer pair",IF(AND(E30="Expense",K30=""),"Assign budget fund",IF(AND(E30="Expense",L30=""),"Add receipt / proof",""))))))))))</x:f>
      </x:c>
    </x:row>
    <x:row r="31" ht="24" customHeight="1">
      <x:c r="A31" s="10"/>
      <x:c r="B31" s="5"/>
      <x:c r="C31" s="10"/>
      <x:c r="D31" s="10"/>
      <x:c r="E31" s="10"/>
      <x:c r="F31" s="10"/>
      <x:c r="G31" s="10"/>
      <x:c r="H31" s="10"/>
      <x:c r="I31" s="11"/>
      <x:c r="J31" s="11"/>
      <x:c r="K31" s="10"/>
      <x:c r="L31" s="10"/>
      <x:c r="M31" s="10"/>
      <x:c r="N31" s="10"/>
      <x:c r="O31" s="1" t="str">
        <x:f>IF(COUNTA(A31:N31)=0,"",IF(OR(A31="",B31="",C31="",NOT(ISNUMBER(D31)),NOT(ISNUMBER(E31))),"Complete required fields",IF(COUNTIFS($A$7:$A$506,A31)&gt;1,"Duplicate ID",IF(COUNTIFS('Accounts'!$A$7:$A$26,C31,'Accounts'!$B$7:$B$26,D31)&lt;&gt;1,"Check account/currency",IF(OR(I31&lt;0,J31&lt;0,AND(I31&gt;0,J31&gt;0),AND(I31=0,J31=0)),"Check amounts",IF(OR(AND(E31="Income",J31&gt;0),AND(E31="Expense",I31&gt;0),AND(E31="Transfer in",J31&gt;0),AND(E31="Transfer out",I31&gt;0)),"Check type/direction",IF(AND(OR(E31="Transfer in",E31="Transfer out"),M31=""),"Add transfer pair ID",IF(AND(OR(E31="Transfer in",E31="Transfer out"),COUNTIFS($M$7:$M$506,M31,$D$7:$D$506,D31)&lt;&gt;2),"Check transfer pair",IF(AND(E31="Expense",K31=""),"Assign budget fund",IF(AND(E31="Expense",L31=""),"Add receipt / proof",""))))))))))</x:f>
      </x:c>
    </x:row>
    <x:row r="32" ht="24" customHeight="1">
      <x:c r="A32" s="10"/>
      <x:c r="B32" s="5"/>
      <x:c r="C32" s="10"/>
      <x:c r="D32" s="10"/>
      <x:c r="E32" s="10"/>
      <x:c r="F32" s="10"/>
      <x:c r="G32" s="10"/>
      <x:c r="H32" s="10"/>
      <x:c r="I32" s="11"/>
      <x:c r="J32" s="11"/>
      <x:c r="K32" s="10"/>
      <x:c r="L32" s="10"/>
      <x:c r="M32" s="10"/>
      <x:c r="N32" s="10"/>
      <x:c r="O32" s="1" t="str">
        <x:f>IF(COUNTA(A32:N32)=0,"",IF(OR(A32="",B32="",C32="",NOT(ISNUMBER(D32)),NOT(ISNUMBER(E32))),"Complete required fields",IF(COUNTIFS($A$7:$A$506,A32)&gt;1,"Duplicate ID",IF(COUNTIFS('Accounts'!$A$7:$A$26,C32,'Accounts'!$B$7:$B$26,D32)&lt;&gt;1,"Check account/currency",IF(OR(I32&lt;0,J32&lt;0,AND(I32&gt;0,J32&gt;0),AND(I32=0,J32=0)),"Check amounts",IF(OR(AND(E32="Income",J32&gt;0),AND(E32="Expense",I32&gt;0),AND(E32="Transfer in",J32&gt;0),AND(E32="Transfer out",I32&gt;0)),"Check type/direction",IF(AND(OR(E32="Transfer in",E32="Transfer out"),M32=""),"Add transfer pair ID",IF(AND(OR(E32="Transfer in",E32="Transfer out"),COUNTIFS($M$7:$M$506,M32,$D$7:$D$506,D32)&lt;&gt;2),"Check transfer pair",IF(AND(E32="Expense",K32=""),"Assign budget fund",IF(AND(E32="Expense",L32=""),"Add receipt / proof",""))))))))))</x:f>
      </x:c>
    </x:row>
    <x:row r="33" ht="24" customHeight="1">
      <x:c r="A33" s="10"/>
      <x:c r="B33" s="5"/>
      <x:c r="C33" s="10"/>
      <x:c r="D33" s="10"/>
      <x:c r="E33" s="10"/>
      <x:c r="F33" s="10"/>
      <x:c r="G33" s="10"/>
      <x:c r="H33" s="10"/>
      <x:c r="I33" s="11"/>
      <x:c r="J33" s="11"/>
      <x:c r="K33" s="10"/>
      <x:c r="L33" s="10"/>
      <x:c r="M33" s="10"/>
      <x:c r="N33" s="10"/>
      <x:c r="O33" s="1" t="str">
        <x:f>IF(COUNTA(A33:N33)=0,"",IF(OR(A33="",B33="",C33="",NOT(ISNUMBER(D33)),NOT(ISNUMBER(E33))),"Complete required fields",IF(COUNTIFS($A$7:$A$506,A33)&gt;1,"Duplicate ID",IF(COUNTIFS('Accounts'!$A$7:$A$26,C33,'Accounts'!$B$7:$B$26,D33)&lt;&gt;1,"Check account/currency",IF(OR(I33&lt;0,J33&lt;0,AND(I33&gt;0,J33&gt;0),AND(I33=0,J33=0)),"Check amounts",IF(OR(AND(E33="Income",J33&gt;0),AND(E33="Expense",I33&gt;0),AND(E33="Transfer in",J33&gt;0),AND(E33="Transfer out",I33&gt;0)),"Check type/direction",IF(AND(OR(E33="Transfer in",E33="Transfer out"),M33=""),"Add transfer pair ID",IF(AND(OR(E33="Transfer in",E33="Transfer out"),COUNTIFS($M$7:$M$506,M33,$D$7:$D$506,D33)&lt;&gt;2),"Check transfer pair",IF(AND(E33="Expense",K33=""),"Assign budget fund",IF(AND(E33="Expense",L33=""),"Add receipt / proof",""))))))))))</x:f>
      </x:c>
    </x:row>
    <x:row r="34" ht="24" customHeight="1">
      <x:c r="A34" s="10"/>
      <x:c r="B34" s="5"/>
      <x:c r="C34" s="10"/>
      <x:c r="D34" s="10"/>
      <x:c r="E34" s="10"/>
      <x:c r="F34" s="10"/>
      <x:c r="G34" s="10"/>
      <x:c r="H34" s="10"/>
      <x:c r="I34" s="11"/>
      <x:c r="J34" s="11"/>
      <x:c r="K34" s="10"/>
      <x:c r="L34" s="10"/>
      <x:c r="M34" s="10"/>
      <x:c r="N34" s="10"/>
      <x:c r="O34" s="1" t="str">
        <x:f>IF(COUNTA(A34:N34)=0,"",IF(OR(A34="",B34="",C34="",NOT(ISNUMBER(D34)),NOT(ISNUMBER(E34))),"Complete required fields",IF(COUNTIFS($A$7:$A$506,A34)&gt;1,"Duplicate ID",IF(COUNTIFS('Accounts'!$A$7:$A$26,C34,'Accounts'!$B$7:$B$26,D34)&lt;&gt;1,"Check account/currency",IF(OR(I34&lt;0,J34&lt;0,AND(I34&gt;0,J34&gt;0),AND(I34=0,J34=0)),"Check amounts",IF(OR(AND(E34="Income",J34&gt;0),AND(E34="Expense",I34&gt;0),AND(E34="Transfer in",J34&gt;0),AND(E34="Transfer out",I34&gt;0)),"Check type/direction",IF(AND(OR(E34="Transfer in",E34="Transfer out"),M34=""),"Add transfer pair ID",IF(AND(OR(E34="Transfer in",E34="Transfer out"),COUNTIFS($M$7:$M$506,M34,$D$7:$D$506,D34)&lt;&gt;2),"Check transfer pair",IF(AND(E34="Expense",K34=""),"Assign budget fund",IF(AND(E34="Expense",L34=""),"Add receipt / proof",""))))))))))</x:f>
      </x:c>
    </x:row>
    <x:row r="35" ht="24" customHeight="1">
      <x:c r="A35" s="10"/>
      <x:c r="B35" s="5"/>
      <x:c r="C35" s="10"/>
      <x:c r="D35" s="10"/>
      <x:c r="E35" s="10"/>
      <x:c r="F35" s="10"/>
      <x:c r="G35" s="10"/>
      <x:c r="H35" s="10"/>
      <x:c r="I35" s="11"/>
      <x:c r="J35" s="11"/>
      <x:c r="K35" s="10"/>
      <x:c r="L35" s="10"/>
      <x:c r="M35" s="10"/>
      <x:c r="N35" s="10"/>
      <x:c r="O35" s="1" t="str">
        <x:f>IF(COUNTA(A35:N35)=0,"",IF(OR(A35="",B35="",C35="",NOT(ISNUMBER(D35)),NOT(ISNUMBER(E35))),"Complete required fields",IF(COUNTIFS($A$7:$A$506,A35)&gt;1,"Duplicate ID",IF(COUNTIFS('Accounts'!$A$7:$A$26,C35,'Accounts'!$B$7:$B$26,D35)&lt;&gt;1,"Check account/currency",IF(OR(I35&lt;0,J35&lt;0,AND(I35&gt;0,J35&gt;0),AND(I35=0,J35=0)),"Check amounts",IF(OR(AND(E35="Income",J35&gt;0),AND(E35="Expense",I35&gt;0),AND(E35="Transfer in",J35&gt;0),AND(E35="Transfer out",I35&gt;0)),"Check type/direction",IF(AND(OR(E35="Transfer in",E35="Transfer out"),M35=""),"Add transfer pair ID",IF(AND(OR(E35="Transfer in",E35="Transfer out"),COUNTIFS($M$7:$M$506,M35,$D$7:$D$506,D35)&lt;&gt;2),"Check transfer pair",IF(AND(E35="Expense",K35=""),"Assign budget fund",IF(AND(E35="Expense",L35=""),"Add receipt / proof",""))))))))))</x:f>
      </x:c>
    </x:row>
    <x:row r="36" ht="24" customHeight="1">
      <x:c r="A36" s="10"/>
      <x:c r="B36" s="5"/>
      <x:c r="C36" s="10"/>
      <x:c r="D36" s="10"/>
      <x:c r="E36" s="10"/>
      <x:c r="F36" s="10"/>
      <x:c r="G36" s="10"/>
      <x:c r="H36" s="10"/>
      <x:c r="I36" s="11"/>
      <x:c r="J36" s="11"/>
      <x:c r="K36" s="10"/>
      <x:c r="L36" s="10"/>
      <x:c r="M36" s="10"/>
      <x:c r="N36" s="10"/>
      <x:c r="O36" s="1" t="str">
        <x:f>IF(COUNTA(A36:N36)=0,"",IF(OR(A36="",B36="",C36="",NOT(ISNUMBER(D36)),NOT(ISNUMBER(E36))),"Complete required fields",IF(COUNTIFS($A$7:$A$506,A36)&gt;1,"Duplicate ID",IF(COUNTIFS('Accounts'!$A$7:$A$26,C36,'Accounts'!$B$7:$B$26,D36)&lt;&gt;1,"Check account/currency",IF(OR(I36&lt;0,J36&lt;0,AND(I36&gt;0,J36&gt;0),AND(I36=0,J36=0)),"Check amounts",IF(OR(AND(E36="Income",J36&gt;0),AND(E36="Expense",I36&gt;0),AND(E36="Transfer in",J36&gt;0),AND(E36="Transfer out",I36&gt;0)),"Check type/direction",IF(AND(OR(E36="Transfer in",E36="Transfer out"),M36=""),"Add transfer pair ID",IF(AND(OR(E36="Transfer in",E36="Transfer out"),COUNTIFS($M$7:$M$506,M36,$D$7:$D$506,D36)&lt;&gt;2),"Check transfer pair",IF(AND(E36="Expense",K36=""),"Assign budget fund",IF(AND(E36="Expense",L36=""),"Add receipt / proof",""))))))))))</x:f>
      </x:c>
    </x:row>
    <x:row r="37" ht="24" customHeight="1">
      <x:c r="A37" s="10"/>
      <x:c r="B37" s="5"/>
      <x:c r="C37" s="10"/>
      <x:c r="D37" s="10"/>
      <x:c r="E37" s="10"/>
      <x:c r="F37" s="10"/>
      <x:c r="G37" s="10"/>
      <x:c r="H37" s="10"/>
      <x:c r="I37" s="11"/>
      <x:c r="J37" s="11"/>
      <x:c r="K37" s="10"/>
      <x:c r="L37" s="10"/>
      <x:c r="M37" s="10"/>
      <x:c r="N37" s="10"/>
      <x:c r="O37" s="1" t="str">
        <x:f>IF(COUNTA(A37:N37)=0,"",IF(OR(A37="",B37="",C37="",NOT(ISNUMBER(D37)),NOT(ISNUMBER(E37))),"Complete required fields",IF(COUNTIFS($A$7:$A$506,A37)&gt;1,"Duplicate ID",IF(COUNTIFS('Accounts'!$A$7:$A$26,C37,'Accounts'!$B$7:$B$26,D37)&lt;&gt;1,"Check account/currency",IF(OR(I37&lt;0,J37&lt;0,AND(I37&gt;0,J37&gt;0),AND(I37=0,J37=0)),"Check amounts",IF(OR(AND(E37="Income",J37&gt;0),AND(E37="Expense",I37&gt;0),AND(E37="Transfer in",J37&gt;0),AND(E37="Transfer out",I37&gt;0)),"Check type/direction",IF(AND(OR(E37="Transfer in",E37="Transfer out"),M37=""),"Add transfer pair ID",IF(AND(OR(E37="Transfer in",E37="Transfer out"),COUNTIFS($M$7:$M$506,M37,$D$7:$D$506,D37)&lt;&gt;2),"Check transfer pair",IF(AND(E37="Expense",K37=""),"Assign budget fund",IF(AND(E37="Expense",L37=""),"Add receipt / proof",""))))))))))</x:f>
      </x:c>
    </x:row>
    <x:row r="38" ht="24" customHeight="1">
      <x:c r="A38" s="10"/>
      <x:c r="B38" s="5"/>
      <x:c r="C38" s="10"/>
      <x:c r="D38" s="10"/>
      <x:c r="E38" s="10"/>
      <x:c r="F38" s="10"/>
      <x:c r="G38" s="10"/>
      <x:c r="H38" s="10"/>
      <x:c r="I38" s="11"/>
      <x:c r="J38" s="11"/>
      <x:c r="K38" s="10"/>
      <x:c r="L38" s="10"/>
      <x:c r="M38" s="10"/>
      <x:c r="N38" s="10"/>
      <x:c r="O38" s="1" t="str">
        <x:f>IF(COUNTA(A38:N38)=0,"",IF(OR(A38="",B38="",C38="",NOT(ISNUMBER(D38)),NOT(ISNUMBER(E38))),"Complete required fields",IF(COUNTIFS($A$7:$A$506,A38)&gt;1,"Duplicate ID",IF(COUNTIFS('Accounts'!$A$7:$A$26,C38,'Accounts'!$B$7:$B$26,D38)&lt;&gt;1,"Check account/currency",IF(OR(I38&lt;0,J38&lt;0,AND(I38&gt;0,J38&gt;0),AND(I38=0,J38=0)),"Check amounts",IF(OR(AND(E38="Income",J38&gt;0),AND(E38="Expense",I38&gt;0),AND(E38="Transfer in",J38&gt;0),AND(E38="Transfer out",I38&gt;0)),"Check type/direction",IF(AND(OR(E38="Transfer in",E38="Transfer out"),M38=""),"Add transfer pair ID",IF(AND(OR(E38="Transfer in",E38="Transfer out"),COUNTIFS($M$7:$M$506,M38,$D$7:$D$506,D38)&lt;&gt;2),"Check transfer pair",IF(AND(E38="Expense",K38=""),"Assign budget fund",IF(AND(E38="Expense",L38=""),"Add receipt / proof",""))))))))))</x:f>
      </x:c>
    </x:row>
    <x:row r="39" ht="24" customHeight="1">
      <x:c r="A39" s="10"/>
      <x:c r="B39" s="5"/>
      <x:c r="C39" s="10"/>
      <x:c r="D39" s="10"/>
      <x:c r="E39" s="10"/>
      <x:c r="F39" s="10"/>
      <x:c r="G39" s="10"/>
      <x:c r="H39" s="10"/>
      <x:c r="I39" s="11"/>
      <x:c r="J39" s="11"/>
      <x:c r="K39" s="10"/>
      <x:c r="L39" s="10"/>
      <x:c r="M39" s="10"/>
      <x:c r="N39" s="10"/>
      <x:c r="O39" s="1" t="str">
        <x:f>IF(COUNTA(A39:N39)=0,"",IF(OR(A39="",B39="",C39="",NOT(ISNUMBER(D39)),NOT(ISNUMBER(E39))),"Complete required fields",IF(COUNTIFS($A$7:$A$506,A39)&gt;1,"Duplicate ID",IF(COUNTIFS('Accounts'!$A$7:$A$26,C39,'Accounts'!$B$7:$B$26,D39)&lt;&gt;1,"Check account/currency",IF(OR(I39&lt;0,J39&lt;0,AND(I39&gt;0,J39&gt;0),AND(I39=0,J39=0)),"Check amounts",IF(OR(AND(E39="Income",J39&gt;0),AND(E39="Expense",I39&gt;0),AND(E39="Transfer in",J39&gt;0),AND(E39="Transfer out",I39&gt;0)),"Check type/direction",IF(AND(OR(E39="Transfer in",E39="Transfer out"),M39=""),"Add transfer pair ID",IF(AND(OR(E39="Transfer in",E39="Transfer out"),COUNTIFS($M$7:$M$506,M39,$D$7:$D$506,D39)&lt;&gt;2),"Check transfer pair",IF(AND(E39="Expense",K39=""),"Assign budget fund",IF(AND(E39="Expense",L39=""),"Add receipt / proof",""))))))))))</x:f>
      </x:c>
    </x:row>
    <x:row r="40" ht="24" customHeight="1">
      <x:c r="A40" s="10"/>
      <x:c r="B40" s="5"/>
      <x:c r="C40" s="10"/>
      <x:c r="D40" s="10"/>
      <x:c r="E40" s="10"/>
      <x:c r="F40" s="10"/>
      <x:c r="G40" s="10"/>
      <x:c r="H40" s="10"/>
      <x:c r="I40" s="11"/>
      <x:c r="J40" s="11"/>
      <x:c r="K40" s="10"/>
      <x:c r="L40" s="10"/>
      <x:c r="M40" s="10"/>
      <x:c r="N40" s="10"/>
      <x:c r="O40" s="1" t="str">
        <x:f>IF(COUNTA(A40:N40)=0,"",IF(OR(A40="",B40="",C40="",NOT(ISNUMBER(D40)),NOT(ISNUMBER(E40))),"Complete required fields",IF(COUNTIFS($A$7:$A$506,A40)&gt;1,"Duplicate ID",IF(COUNTIFS('Accounts'!$A$7:$A$26,C40,'Accounts'!$B$7:$B$26,D40)&lt;&gt;1,"Check account/currency",IF(OR(I40&lt;0,J40&lt;0,AND(I40&gt;0,J40&gt;0),AND(I40=0,J40=0)),"Check amounts",IF(OR(AND(E40="Income",J40&gt;0),AND(E40="Expense",I40&gt;0),AND(E40="Transfer in",J40&gt;0),AND(E40="Transfer out",I40&gt;0)),"Check type/direction",IF(AND(OR(E40="Transfer in",E40="Transfer out"),M40=""),"Add transfer pair ID",IF(AND(OR(E40="Transfer in",E40="Transfer out"),COUNTIFS($M$7:$M$506,M40,$D$7:$D$506,D40)&lt;&gt;2),"Check transfer pair",IF(AND(E40="Expense",K40=""),"Assign budget fund",IF(AND(E40="Expense",L40=""),"Add receipt / proof",""))))))))))</x:f>
      </x:c>
    </x:row>
    <x:row r="41" ht="24" customHeight="1">
      <x:c r="A41" s="10"/>
      <x:c r="B41" s="5"/>
      <x:c r="C41" s="10"/>
      <x:c r="D41" s="10"/>
      <x:c r="E41" s="10"/>
      <x:c r="F41" s="10"/>
      <x:c r="G41" s="10"/>
      <x:c r="H41" s="10"/>
      <x:c r="I41" s="11"/>
      <x:c r="J41" s="11"/>
      <x:c r="K41" s="10"/>
      <x:c r="L41" s="10"/>
      <x:c r="M41" s="10"/>
      <x:c r="N41" s="10"/>
      <x:c r="O41" s="1" t="str">
        <x:f>IF(COUNTA(A41:N41)=0,"",IF(OR(A41="",B41="",C41="",NOT(ISNUMBER(D41)),NOT(ISNUMBER(E41))),"Complete required fields",IF(COUNTIFS($A$7:$A$506,A41)&gt;1,"Duplicate ID",IF(COUNTIFS('Accounts'!$A$7:$A$26,C41,'Accounts'!$B$7:$B$26,D41)&lt;&gt;1,"Check account/currency",IF(OR(I41&lt;0,J41&lt;0,AND(I41&gt;0,J41&gt;0),AND(I41=0,J41=0)),"Check amounts",IF(OR(AND(E41="Income",J41&gt;0),AND(E41="Expense",I41&gt;0),AND(E41="Transfer in",J41&gt;0),AND(E41="Transfer out",I41&gt;0)),"Check type/direction",IF(AND(OR(E41="Transfer in",E41="Transfer out"),M41=""),"Add transfer pair ID",IF(AND(OR(E41="Transfer in",E41="Transfer out"),COUNTIFS($M$7:$M$506,M41,$D$7:$D$506,D41)&lt;&gt;2),"Check transfer pair",IF(AND(E41="Expense",K41=""),"Assign budget fund",IF(AND(E41="Expense",L41=""),"Add receipt / proof",""))))))))))</x:f>
      </x:c>
    </x:row>
    <x:row r="42" ht="24" customHeight="1">
      <x:c r="A42" s="10"/>
      <x:c r="B42" s="5"/>
      <x:c r="C42" s="10"/>
      <x:c r="D42" s="10"/>
      <x:c r="E42" s="10"/>
      <x:c r="F42" s="10"/>
      <x:c r="G42" s="10"/>
      <x:c r="H42" s="10"/>
      <x:c r="I42" s="11"/>
      <x:c r="J42" s="11"/>
      <x:c r="K42" s="10"/>
      <x:c r="L42" s="10"/>
      <x:c r="M42" s="10"/>
      <x:c r="N42" s="10"/>
      <x:c r="O42" s="1" t="str">
        <x:f>IF(COUNTA(A42:N42)=0,"",IF(OR(A42="",B42="",C42="",NOT(ISNUMBER(D42)),NOT(ISNUMBER(E42))),"Complete required fields",IF(COUNTIFS($A$7:$A$506,A42)&gt;1,"Duplicate ID",IF(COUNTIFS('Accounts'!$A$7:$A$26,C42,'Accounts'!$B$7:$B$26,D42)&lt;&gt;1,"Check account/currency",IF(OR(I42&lt;0,J42&lt;0,AND(I42&gt;0,J42&gt;0),AND(I42=0,J42=0)),"Check amounts",IF(OR(AND(E42="Income",J42&gt;0),AND(E42="Expense",I42&gt;0),AND(E42="Transfer in",J42&gt;0),AND(E42="Transfer out",I42&gt;0)),"Check type/direction",IF(AND(OR(E42="Transfer in",E42="Transfer out"),M42=""),"Add transfer pair ID",IF(AND(OR(E42="Transfer in",E42="Transfer out"),COUNTIFS($M$7:$M$506,M42,$D$7:$D$506,D42)&lt;&gt;2),"Check transfer pair",IF(AND(E42="Expense",K42=""),"Assign budget fund",IF(AND(E42="Expense",L42=""),"Add receipt / proof",""))))))))))</x:f>
      </x:c>
    </x:row>
    <x:row r="43" ht="24" customHeight="1">
      <x:c r="A43" s="10"/>
      <x:c r="B43" s="5"/>
      <x:c r="C43" s="10"/>
      <x:c r="D43" s="10"/>
      <x:c r="E43" s="10"/>
      <x:c r="F43" s="10"/>
      <x:c r="G43" s="10"/>
      <x:c r="H43" s="10"/>
      <x:c r="I43" s="11"/>
      <x:c r="J43" s="11"/>
      <x:c r="K43" s="10"/>
      <x:c r="L43" s="10"/>
      <x:c r="M43" s="10"/>
      <x:c r="N43" s="10"/>
      <x:c r="O43" s="1" t="str">
        <x:f>IF(COUNTA(A43:N43)=0,"",IF(OR(A43="",B43="",C43="",NOT(ISNUMBER(D43)),NOT(ISNUMBER(E43))),"Complete required fields",IF(COUNTIFS($A$7:$A$506,A43)&gt;1,"Duplicate ID",IF(COUNTIFS('Accounts'!$A$7:$A$26,C43,'Accounts'!$B$7:$B$26,D43)&lt;&gt;1,"Check account/currency",IF(OR(I43&lt;0,J43&lt;0,AND(I43&gt;0,J43&gt;0),AND(I43=0,J43=0)),"Check amounts",IF(OR(AND(E43="Income",J43&gt;0),AND(E43="Expense",I43&gt;0),AND(E43="Transfer in",J43&gt;0),AND(E43="Transfer out",I43&gt;0)),"Check type/direction",IF(AND(OR(E43="Transfer in",E43="Transfer out"),M43=""),"Add transfer pair ID",IF(AND(OR(E43="Transfer in",E43="Transfer out"),COUNTIFS($M$7:$M$506,M43,$D$7:$D$506,D43)&lt;&gt;2),"Check transfer pair",IF(AND(E43="Expense",K43=""),"Assign budget fund",IF(AND(E43="Expense",L43=""),"Add receipt / proof",""))))))))))</x:f>
      </x:c>
    </x:row>
    <x:row r="44" ht="24" customHeight="1">
      <x:c r="A44" s="10"/>
      <x:c r="B44" s="5"/>
      <x:c r="C44" s="10"/>
      <x:c r="D44" s="10"/>
      <x:c r="E44" s="10"/>
      <x:c r="F44" s="10"/>
      <x:c r="G44" s="10"/>
      <x:c r="H44" s="10"/>
      <x:c r="I44" s="11"/>
      <x:c r="J44" s="11"/>
      <x:c r="K44" s="10"/>
      <x:c r="L44" s="10"/>
      <x:c r="M44" s="10"/>
      <x:c r="N44" s="10"/>
      <x:c r="O44" s="1" t="str">
        <x:f>IF(COUNTA(A44:N44)=0,"",IF(OR(A44="",B44="",C44="",NOT(ISNUMBER(D44)),NOT(ISNUMBER(E44))),"Complete required fields",IF(COUNTIFS($A$7:$A$506,A44)&gt;1,"Duplicate ID",IF(COUNTIFS('Accounts'!$A$7:$A$26,C44,'Accounts'!$B$7:$B$26,D44)&lt;&gt;1,"Check account/currency",IF(OR(I44&lt;0,J44&lt;0,AND(I44&gt;0,J44&gt;0),AND(I44=0,J44=0)),"Check amounts",IF(OR(AND(E44="Income",J44&gt;0),AND(E44="Expense",I44&gt;0),AND(E44="Transfer in",J44&gt;0),AND(E44="Transfer out",I44&gt;0)),"Check type/direction",IF(AND(OR(E44="Transfer in",E44="Transfer out"),M44=""),"Add transfer pair ID",IF(AND(OR(E44="Transfer in",E44="Transfer out"),COUNTIFS($M$7:$M$506,M44,$D$7:$D$506,D44)&lt;&gt;2),"Check transfer pair",IF(AND(E44="Expense",K44=""),"Assign budget fund",IF(AND(E44="Expense",L44=""),"Add receipt / proof",""))))))))))</x:f>
      </x:c>
    </x:row>
    <x:row r="45" ht="24" customHeight="1">
      <x:c r="A45" s="10"/>
      <x:c r="B45" s="5"/>
      <x:c r="C45" s="10"/>
      <x:c r="D45" s="10"/>
      <x:c r="E45" s="10"/>
      <x:c r="F45" s="10"/>
      <x:c r="G45" s="10"/>
      <x:c r="H45" s="10"/>
      <x:c r="I45" s="11"/>
      <x:c r="J45" s="11"/>
      <x:c r="K45" s="10"/>
      <x:c r="L45" s="10"/>
      <x:c r="M45" s="10"/>
      <x:c r="N45" s="10"/>
      <x:c r="O45" s="1" t="str">
        <x:f>IF(COUNTA(A45:N45)=0,"",IF(OR(A45="",B45="",C45="",NOT(ISNUMBER(D45)),NOT(ISNUMBER(E45))),"Complete required fields",IF(COUNTIFS($A$7:$A$506,A45)&gt;1,"Duplicate ID",IF(COUNTIFS('Accounts'!$A$7:$A$26,C45,'Accounts'!$B$7:$B$26,D45)&lt;&gt;1,"Check account/currency",IF(OR(I45&lt;0,J45&lt;0,AND(I45&gt;0,J45&gt;0),AND(I45=0,J45=0)),"Check amounts",IF(OR(AND(E45="Income",J45&gt;0),AND(E45="Expense",I45&gt;0),AND(E45="Transfer in",J45&gt;0),AND(E45="Transfer out",I45&gt;0)),"Check type/direction",IF(AND(OR(E45="Transfer in",E45="Transfer out"),M45=""),"Add transfer pair ID",IF(AND(OR(E45="Transfer in",E45="Transfer out"),COUNTIFS($M$7:$M$506,M45,$D$7:$D$506,D45)&lt;&gt;2),"Check transfer pair",IF(AND(E45="Expense",K45=""),"Assign budget fund",IF(AND(E45="Expense",L45=""),"Add receipt / proof",""))))))))))</x:f>
      </x:c>
    </x:row>
    <x:row r="46" ht="24" customHeight="1">
      <x:c r="A46" s="10"/>
      <x:c r="B46" s="5"/>
      <x:c r="C46" s="10"/>
      <x:c r="D46" s="10"/>
      <x:c r="E46" s="10"/>
      <x:c r="F46" s="10"/>
      <x:c r="G46" s="10"/>
      <x:c r="H46" s="10"/>
      <x:c r="I46" s="11"/>
      <x:c r="J46" s="11"/>
      <x:c r="K46" s="10"/>
      <x:c r="L46" s="10"/>
      <x:c r="M46" s="10"/>
      <x:c r="N46" s="10"/>
      <x:c r="O46" s="1" t="str">
        <x:f>IF(COUNTA(A46:N46)=0,"",IF(OR(A46="",B46="",C46="",NOT(ISNUMBER(D46)),NOT(ISNUMBER(E46))),"Complete required fields",IF(COUNTIFS($A$7:$A$506,A46)&gt;1,"Duplicate ID",IF(COUNTIFS('Accounts'!$A$7:$A$26,C46,'Accounts'!$B$7:$B$26,D46)&lt;&gt;1,"Check account/currency",IF(OR(I46&lt;0,J46&lt;0,AND(I46&gt;0,J46&gt;0),AND(I46=0,J46=0)),"Check amounts",IF(OR(AND(E46="Income",J46&gt;0),AND(E46="Expense",I46&gt;0),AND(E46="Transfer in",J46&gt;0),AND(E46="Transfer out",I46&gt;0)),"Check type/direction",IF(AND(OR(E46="Transfer in",E46="Transfer out"),M46=""),"Add transfer pair ID",IF(AND(OR(E46="Transfer in",E46="Transfer out"),COUNTIFS($M$7:$M$506,M46,$D$7:$D$506,D46)&lt;&gt;2),"Check transfer pair",IF(AND(E46="Expense",K46=""),"Assign budget fund",IF(AND(E46="Expense",L46=""),"Add receipt / proof",""))))))))))</x:f>
      </x:c>
    </x:row>
    <x:row r="47" ht="24" customHeight="1">
      <x:c r="A47" s="10"/>
      <x:c r="B47" s="5"/>
      <x:c r="C47" s="10"/>
      <x:c r="D47" s="10"/>
      <x:c r="E47" s="10"/>
      <x:c r="F47" s="10"/>
      <x:c r="G47" s="10"/>
      <x:c r="H47" s="10"/>
      <x:c r="I47" s="11"/>
      <x:c r="J47" s="11"/>
      <x:c r="K47" s="10"/>
      <x:c r="L47" s="10"/>
      <x:c r="M47" s="10"/>
      <x:c r="N47" s="10"/>
      <x:c r="O47" s="1" t="str">
        <x:f>IF(COUNTA(A47:N47)=0,"",IF(OR(A47="",B47="",C47="",NOT(ISNUMBER(D47)),NOT(ISNUMBER(E47))),"Complete required fields",IF(COUNTIFS($A$7:$A$506,A47)&gt;1,"Duplicate ID",IF(COUNTIFS('Accounts'!$A$7:$A$26,C47,'Accounts'!$B$7:$B$26,D47)&lt;&gt;1,"Check account/currency",IF(OR(I47&lt;0,J47&lt;0,AND(I47&gt;0,J47&gt;0),AND(I47=0,J47=0)),"Check amounts",IF(OR(AND(E47="Income",J47&gt;0),AND(E47="Expense",I47&gt;0),AND(E47="Transfer in",J47&gt;0),AND(E47="Transfer out",I47&gt;0)),"Check type/direction",IF(AND(OR(E47="Transfer in",E47="Transfer out"),M47=""),"Add transfer pair ID",IF(AND(OR(E47="Transfer in",E47="Transfer out"),COUNTIFS($M$7:$M$506,M47,$D$7:$D$506,D47)&lt;&gt;2),"Check transfer pair",IF(AND(E47="Expense",K47=""),"Assign budget fund",IF(AND(E47="Expense",L47=""),"Add receipt / proof",""))))))))))</x:f>
      </x:c>
    </x:row>
    <x:row r="48" ht="24" customHeight="1">
      <x:c r="A48" s="10"/>
      <x:c r="B48" s="5"/>
      <x:c r="C48" s="10"/>
      <x:c r="D48" s="10"/>
      <x:c r="E48" s="10"/>
      <x:c r="F48" s="10"/>
      <x:c r="G48" s="10"/>
      <x:c r="H48" s="10"/>
      <x:c r="I48" s="11"/>
      <x:c r="J48" s="11"/>
      <x:c r="K48" s="10"/>
      <x:c r="L48" s="10"/>
      <x:c r="M48" s="10"/>
      <x:c r="N48" s="10"/>
      <x:c r="O48" s="1" t="str">
        <x:f>IF(COUNTA(A48:N48)=0,"",IF(OR(A48="",B48="",C48="",NOT(ISNUMBER(D48)),NOT(ISNUMBER(E48))),"Complete required fields",IF(COUNTIFS($A$7:$A$506,A48)&gt;1,"Duplicate ID",IF(COUNTIFS('Accounts'!$A$7:$A$26,C48,'Accounts'!$B$7:$B$26,D48)&lt;&gt;1,"Check account/currency",IF(OR(I48&lt;0,J48&lt;0,AND(I48&gt;0,J48&gt;0),AND(I48=0,J48=0)),"Check amounts",IF(OR(AND(E48="Income",J48&gt;0),AND(E48="Expense",I48&gt;0),AND(E48="Transfer in",J48&gt;0),AND(E48="Transfer out",I48&gt;0)),"Check type/direction",IF(AND(OR(E48="Transfer in",E48="Transfer out"),M48=""),"Add transfer pair ID",IF(AND(OR(E48="Transfer in",E48="Transfer out"),COUNTIFS($M$7:$M$506,M48,$D$7:$D$506,D48)&lt;&gt;2),"Check transfer pair",IF(AND(E48="Expense",K48=""),"Assign budget fund",IF(AND(E48="Expense",L48=""),"Add receipt / proof",""))))))))))</x:f>
      </x:c>
    </x:row>
    <x:row r="49" ht="24" customHeight="1">
      <x:c r="A49" s="10"/>
      <x:c r="B49" s="5"/>
      <x:c r="C49" s="10"/>
      <x:c r="D49" s="10"/>
      <x:c r="E49" s="10"/>
      <x:c r="F49" s="10"/>
      <x:c r="G49" s="10"/>
      <x:c r="H49" s="10"/>
      <x:c r="I49" s="11"/>
      <x:c r="J49" s="11"/>
      <x:c r="K49" s="10"/>
      <x:c r="L49" s="10"/>
      <x:c r="M49" s="10"/>
      <x:c r="N49" s="10"/>
      <x:c r="O49" s="1" t="str">
        <x:f>IF(COUNTA(A49:N49)=0,"",IF(OR(A49="",B49="",C49="",NOT(ISNUMBER(D49)),NOT(ISNUMBER(E49))),"Complete required fields",IF(COUNTIFS($A$7:$A$506,A49)&gt;1,"Duplicate ID",IF(COUNTIFS('Accounts'!$A$7:$A$26,C49,'Accounts'!$B$7:$B$26,D49)&lt;&gt;1,"Check account/currency",IF(OR(I49&lt;0,J49&lt;0,AND(I49&gt;0,J49&gt;0),AND(I49=0,J49=0)),"Check amounts",IF(OR(AND(E49="Income",J49&gt;0),AND(E49="Expense",I49&gt;0),AND(E49="Transfer in",J49&gt;0),AND(E49="Transfer out",I49&gt;0)),"Check type/direction",IF(AND(OR(E49="Transfer in",E49="Transfer out"),M49=""),"Add transfer pair ID",IF(AND(OR(E49="Transfer in",E49="Transfer out"),COUNTIFS($M$7:$M$506,M49,$D$7:$D$506,D49)&lt;&gt;2),"Check transfer pair",IF(AND(E49="Expense",K49=""),"Assign budget fund",IF(AND(E49="Expense",L49=""),"Add receipt / proof",""))))))))))</x:f>
      </x:c>
    </x:row>
    <x:row r="50" ht="24" customHeight="1">
      <x:c r="A50" s="10"/>
      <x:c r="B50" s="5"/>
      <x:c r="C50" s="10"/>
      <x:c r="D50" s="10"/>
      <x:c r="E50" s="10"/>
      <x:c r="F50" s="10"/>
      <x:c r="G50" s="10"/>
      <x:c r="H50" s="10"/>
      <x:c r="I50" s="11"/>
      <x:c r="J50" s="11"/>
      <x:c r="K50" s="10"/>
      <x:c r="L50" s="10"/>
      <x:c r="M50" s="10"/>
      <x:c r="N50" s="10"/>
      <x:c r="O50" s="1" t="str">
        <x:f>IF(COUNTA(A50:N50)=0,"",IF(OR(A50="",B50="",C50="",NOT(ISNUMBER(D50)),NOT(ISNUMBER(E50))),"Complete required fields",IF(COUNTIFS($A$7:$A$506,A50)&gt;1,"Duplicate ID",IF(COUNTIFS('Accounts'!$A$7:$A$26,C50,'Accounts'!$B$7:$B$26,D50)&lt;&gt;1,"Check account/currency",IF(OR(I50&lt;0,J50&lt;0,AND(I50&gt;0,J50&gt;0),AND(I50=0,J50=0)),"Check amounts",IF(OR(AND(E50="Income",J50&gt;0),AND(E50="Expense",I50&gt;0),AND(E50="Transfer in",J50&gt;0),AND(E50="Transfer out",I50&gt;0)),"Check type/direction",IF(AND(OR(E50="Transfer in",E50="Transfer out"),M50=""),"Add transfer pair ID",IF(AND(OR(E50="Transfer in",E50="Transfer out"),COUNTIFS($M$7:$M$506,M50,$D$7:$D$506,D50)&lt;&gt;2),"Check transfer pair",IF(AND(E50="Expense",K50=""),"Assign budget fund",IF(AND(E50="Expense",L50=""),"Add receipt / proof",""))))))))))</x:f>
      </x:c>
    </x:row>
    <x:row r="51" ht="24" customHeight="1">
      <x:c r="A51" s="10"/>
      <x:c r="B51" s="5"/>
      <x:c r="C51" s="10"/>
      <x:c r="D51" s="10"/>
      <x:c r="E51" s="10"/>
      <x:c r="F51" s="10"/>
      <x:c r="G51" s="10"/>
      <x:c r="H51" s="10"/>
      <x:c r="I51" s="11"/>
      <x:c r="J51" s="11"/>
      <x:c r="K51" s="10"/>
      <x:c r="L51" s="10"/>
      <x:c r="M51" s="10"/>
      <x:c r="N51" s="10"/>
      <x:c r="O51" s="1" t="str">
        <x:f>IF(COUNTA(A51:N51)=0,"",IF(OR(A51="",B51="",C51="",NOT(ISNUMBER(D51)),NOT(ISNUMBER(E51))),"Complete required fields",IF(COUNTIFS($A$7:$A$506,A51)&gt;1,"Duplicate ID",IF(COUNTIFS('Accounts'!$A$7:$A$26,C51,'Accounts'!$B$7:$B$26,D51)&lt;&gt;1,"Check account/currency",IF(OR(I51&lt;0,J51&lt;0,AND(I51&gt;0,J51&gt;0),AND(I51=0,J51=0)),"Check amounts",IF(OR(AND(E51="Income",J51&gt;0),AND(E51="Expense",I51&gt;0),AND(E51="Transfer in",J51&gt;0),AND(E51="Transfer out",I51&gt;0)),"Check type/direction",IF(AND(OR(E51="Transfer in",E51="Transfer out"),M51=""),"Add transfer pair ID",IF(AND(OR(E51="Transfer in",E51="Transfer out"),COUNTIFS($M$7:$M$506,M51,$D$7:$D$506,D51)&lt;&gt;2),"Check transfer pair",IF(AND(E51="Expense",K51=""),"Assign budget fund",IF(AND(E51="Expense",L51=""),"Add receipt / proof",""))))))))))</x:f>
      </x:c>
    </x:row>
    <x:row r="52" ht="24" customHeight="1">
      <x:c r="A52" s="10"/>
      <x:c r="B52" s="5"/>
      <x:c r="C52" s="10"/>
      <x:c r="D52" s="10"/>
      <x:c r="E52" s="10"/>
      <x:c r="F52" s="10"/>
      <x:c r="G52" s="10"/>
      <x:c r="H52" s="10"/>
      <x:c r="I52" s="11"/>
      <x:c r="J52" s="11"/>
      <x:c r="K52" s="10"/>
      <x:c r="L52" s="10"/>
      <x:c r="M52" s="10"/>
      <x:c r="N52" s="10"/>
      <x:c r="O52" s="1" t="str">
        <x:f>IF(COUNTA(A52:N52)=0,"",IF(OR(A52="",B52="",C52="",NOT(ISNUMBER(D52)),NOT(ISNUMBER(E52))),"Complete required fields",IF(COUNTIFS($A$7:$A$506,A52)&gt;1,"Duplicate ID",IF(COUNTIFS('Accounts'!$A$7:$A$26,C52,'Accounts'!$B$7:$B$26,D52)&lt;&gt;1,"Check account/currency",IF(OR(I52&lt;0,J52&lt;0,AND(I52&gt;0,J52&gt;0),AND(I52=0,J52=0)),"Check amounts",IF(OR(AND(E52="Income",J52&gt;0),AND(E52="Expense",I52&gt;0),AND(E52="Transfer in",J52&gt;0),AND(E52="Transfer out",I52&gt;0)),"Check type/direction",IF(AND(OR(E52="Transfer in",E52="Transfer out"),M52=""),"Add transfer pair ID",IF(AND(OR(E52="Transfer in",E52="Transfer out"),COUNTIFS($M$7:$M$506,M52,$D$7:$D$506,D52)&lt;&gt;2),"Check transfer pair",IF(AND(E52="Expense",K52=""),"Assign budget fund",IF(AND(E52="Expense",L52=""),"Add receipt / proof",""))))))))))</x:f>
      </x:c>
    </x:row>
    <x:row r="53" ht="24" customHeight="1">
      <x:c r="A53" s="10"/>
      <x:c r="B53" s="5"/>
      <x:c r="C53" s="10"/>
      <x:c r="D53" s="10"/>
      <x:c r="E53" s="10"/>
      <x:c r="F53" s="10"/>
      <x:c r="G53" s="10"/>
      <x:c r="H53" s="10"/>
      <x:c r="I53" s="11"/>
      <x:c r="J53" s="11"/>
      <x:c r="K53" s="10"/>
      <x:c r="L53" s="10"/>
      <x:c r="M53" s="10"/>
      <x:c r="N53" s="10"/>
      <x:c r="O53" s="1" t="str">
        <x:f>IF(COUNTA(A53:N53)=0,"",IF(OR(A53="",B53="",C53="",NOT(ISNUMBER(D53)),NOT(ISNUMBER(E53))),"Complete required fields",IF(COUNTIFS($A$7:$A$506,A53)&gt;1,"Duplicate ID",IF(COUNTIFS('Accounts'!$A$7:$A$26,C53,'Accounts'!$B$7:$B$26,D53)&lt;&gt;1,"Check account/currency",IF(OR(I53&lt;0,J53&lt;0,AND(I53&gt;0,J53&gt;0),AND(I53=0,J53=0)),"Check amounts",IF(OR(AND(E53="Income",J53&gt;0),AND(E53="Expense",I53&gt;0),AND(E53="Transfer in",J53&gt;0),AND(E53="Transfer out",I53&gt;0)),"Check type/direction",IF(AND(OR(E53="Transfer in",E53="Transfer out"),M53=""),"Add transfer pair ID",IF(AND(OR(E53="Transfer in",E53="Transfer out"),COUNTIFS($M$7:$M$506,M53,$D$7:$D$506,D53)&lt;&gt;2),"Check transfer pair",IF(AND(E53="Expense",K53=""),"Assign budget fund",IF(AND(E53="Expense",L53=""),"Add receipt / proof",""))))))))))</x:f>
      </x:c>
    </x:row>
    <x:row r="54" ht="24" customHeight="1">
      <x:c r="A54" s="10"/>
      <x:c r="B54" s="5"/>
      <x:c r="C54" s="10"/>
      <x:c r="D54" s="10"/>
      <x:c r="E54" s="10"/>
      <x:c r="F54" s="10"/>
      <x:c r="G54" s="10"/>
      <x:c r="H54" s="10"/>
      <x:c r="I54" s="11"/>
      <x:c r="J54" s="11"/>
      <x:c r="K54" s="10"/>
      <x:c r="L54" s="10"/>
      <x:c r="M54" s="10"/>
      <x:c r="N54" s="10"/>
      <x:c r="O54" s="1" t="str">
        <x:f>IF(COUNTA(A54:N54)=0,"",IF(OR(A54="",B54="",C54="",NOT(ISNUMBER(D54)),NOT(ISNUMBER(E54))),"Complete required fields",IF(COUNTIFS($A$7:$A$506,A54)&gt;1,"Duplicate ID",IF(COUNTIFS('Accounts'!$A$7:$A$26,C54,'Accounts'!$B$7:$B$26,D54)&lt;&gt;1,"Check account/currency",IF(OR(I54&lt;0,J54&lt;0,AND(I54&gt;0,J54&gt;0),AND(I54=0,J54=0)),"Check amounts",IF(OR(AND(E54="Income",J54&gt;0),AND(E54="Expense",I54&gt;0),AND(E54="Transfer in",J54&gt;0),AND(E54="Transfer out",I54&gt;0)),"Check type/direction",IF(AND(OR(E54="Transfer in",E54="Transfer out"),M54=""),"Add transfer pair ID",IF(AND(OR(E54="Transfer in",E54="Transfer out"),COUNTIFS($M$7:$M$506,M54,$D$7:$D$506,D54)&lt;&gt;2),"Check transfer pair",IF(AND(E54="Expense",K54=""),"Assign budget fund",IF(AND(E54="Expense",L54=""),"Add receipt / proof",""))))))))))</x:f>
      </x:c>
    </x:row>
    <x:row r="55" ht="24" customHeight="1">
      <x:c r="A55" s="10"/>
      <x:c r="B55" s="5"/>
      <x:c r="C55" s="10"/>
      <x:c r="D55" s="10"/>
      <x:c r="E55" s="10"/>
      <x:c r="F55" s="10"/>
      <x:c r="G55" s="10"/>
      <x:c r="H55" s="10"/>
      <x:c r="I55" s="11"/>
      <x:c r="J55" s="11"/>
      <x:c r="K55" s="10"/>
      <x:c r="L55" s="10"/>
      <x:c r="M55" s="10"/>
      <x:c r="N55" s="10"/>
      <x:c r="O55" s="1" t="str">
        <x:f>IF(COUNTA(A55:N55)=0,"",IF(OR(A55="",B55="",C55="",NOT(ISNUMBER(D55)),NOT(ISNUMBER(E55))),"Complete required fields",IF(COUNTIFS($A$7:$A$506,A55)&gt;1,"Duplicate ID",IF(COUNTIFS('Accounts'!$A$7:$A$26,C55,'Accounts'!$B$7:$B$26,D55)&lt;&gt;1,"Check account/currency",IF(OR(I55&lt;0,J55&lt;0,AND(I55&gt;0,J55&gt;0),AND(I55=0,J55=0)),"Check amounts",IF(OR(AND(E55="Income",J55&gt;0),AND(E55="Expense",I55&gt;0),AND(E55="Transfer in",J55&gt;0),AND(E55="Transfer out",I55&gt;0)),"Check type/direction",IF(AND(OR(E55="Transfer in",E55="Transfer out"),M55=""),"Add transfer pair ID",IF(AND(OR(E55="Transfer in",E55="Transfer out"),COUNTIFS($M$7:$M$506,M55,$D$7:$D$506,D55)&lt;&gt;2),"Check transfer pair",IF(AND(E55="Expense",K55=""),"Assign budget fund",IF(AND(E55="Expense",L55=""),"Add receipt / proof",""))))))))))</x:f>
      </x:c>
    </x:row>
    <x:row r="56" ht="24" customHeight="1">
      <x:c r="A56" s="10"/>
      <x:c r="B56" s="5"/>
      <x:c r="C56" s="10"/>
      <x:c r="D56" s="10"/>
      <x:c r="E56" s="10"/>
      <x:c r="F56" s="10"/>
      <x:c r="G56" s="10"/>
      <x:c r="H56" s="10"/>
      <x:c r="I56" s="11"/>
      <x:c r="J56" s="11"/>
      <x:c r="K56" s="10"/>
      <x:c r="L56" s="10"/>
      <x:c r="M56" s="10"/>
      <x:c r="N56" s="10"/>
      <x:c r="O56" s="1" t="str">
        <x:f>IF(COUNTA(A56:N56)=0,"",IF(OR(A56="",B56="",C56="",NOT(ISNUMBER(D56)),NOT(ISNUMBER(E56))),"Complete required fields",IF(COUNTIFS($A$7:$A$506,A56)&gt;1,"Duplicate ID",IF(COUNTIFS('Accounts'!$A$7:$A$26,C56,'Accounts'!$B$7:$B$26,D56)&lt;&gt;1,"Check account/currency",IF(OR(I56&lt;0,J56&lt;0,AND(I56&gt;0,J56&gt;0),AND(I56=0,J56=0)),"Check amounts",IF(OR(AND(E56="Income",J56&gt;0),AND(E56="Expense",I56&gt;0),AND(E56="Transfer in",J56&gt;0),AND(E56="Transfer out",I56&gt;0)),"Check type/direction",IF(AND(OR(E56="Transfer in",E56="Transfer out"),M56=""),"Add transfer pair ID",IF(AND(OR(E56="Transfer in",E56="Transfer out"),COUNTIFS($M$7:$M$506,M56,$D$7:$D$506,D56)&lt;&gt;2),"Check transfer pair",IF(AND(E56="Expense",K56=""),"Assign budget fund",IF(AND(E56="Expense",L56=""),"Add receipt / proof",""))))))))))</x:f>
      </x:c>
    </x:row>
    <x:row r="57" ht="24" customHeight="1">
      <x:c r="A57" s="10"/>
      <x:c r="B57" s="5"/>
      <x:c r="C57" s="10"/>
      <x:c r="D57" s="10"/>
      <x:c r="E57" s="10"/>
      <x:c r="F57" s="10"/>
      <x:c r="G57" s="10"/>
      <x:c r="H57" s="10"/>
      <x:c r="I57" s="11"/>
      <x:c r="J57" s="11"/>
      <x:c r="K57" s="10"/>
      <x:c r="L57" s="10"/>
      <x:c r="M57" s="10"/>
      <x:c r="N57" s="10"/>
      <x:c r="O57" s="1" t="str">
        <x:f>IF(COUNTA(A57:N57)=0,"",IF(OR(A57="",B57="",C57="",NOT(ISNUMBER(D57)),NOT(ISNUMBER(E57))),"Complete required fields",IF(COUNTIFS($A$7:$A$506,A57)&gt;1,"Duplicate ID",IF(COUNTIFS('Accounts'!$A$7:$A$26,C57,'Accounts'!$B$7:$B$26,D57)&lt;&gt;1,"Check account/currency",IF(OR(I57&lt;0,J57&lt;0,AND(I57&gt;0,J57&gt;0),AND(I57=0,J57=0)),"Check amounts",IF(OR(AND(E57="Income",J57&gt;0),AND(E57="Expense",I57&gt;0),AND(E57="Transfer in",J57&gt;0),AND(E57="Transfer out",I57&gt;0)),"Check type/direction",IF(AND(OR(E57="Transfer in",E57="Transfer out"),M57=""),"Add transfer pair ID",IF(AND(OR(E57="Transfer in",E57="Transfer out"),COUNTIFS($M$7:$M$506,M57,$D$7:$D$506,D57)&lt;&gt;2),"Check transfer pair",IF(AND(E57="Expense",K57=""),"Assign budget fund",IF(AND(E57="Expense",L57=""),"Add receipt / proof",""))))))))))</x:f>
      </x:c>
    </x:row>
    <x:row r="58" ht="24" customHeight="1">
      <x:c r="A58" s="10"/>
      <x:c r="B58" s="5"/>
      <x:c r="C58" s="10"/>
      <x:c r="D58" s="10"/>
      <x:c r="E58" s="10"/>
      <x:c r="F58" s="10"/>
      <x:c r="G58" s="10"/>
      <x:c r="H58" s="10"/>
      <x:c r="I58" s="11"/>
      <x:c r="J58" s="11"/>
      <x:c r="K58" s="10"/>
      <x:c r="L58" s="10"/>
      <x:c r="M58" s="10"/>
      <x:c r="N58" s="10"/>
      <x:c r="O58" s="1" t="str">
        <x:f>IF(COUNTA(A58:N58)=0,"",IF(OR(A58="",B58="",C58="",NOT(ISNUMBER(D58)),NOT(ISNUMBER(E58))),"Complete required fields",IF(COUNTIFS($A$7:$A$506,A58)&gt;1,"Duplicate ID",IF(COUNTIFS('Accounts'!$A$7:$A$26,C58,'Accounts'!$B$7:$B$26,D58)&lt;&gt;1,"Check account/currency",IF(OR(I58&lt;0,J58&lt;0,AND(I58&gt;0,J58&gt;0),AND(I58=0,J58=0)),"Check amounts",IF(OR(AND(E58="Income",J58&gt;0),AND(E58="Expense",I58&gt;0),AND(E58="Transfer in",J58&gt;0),AND(E58="Transfer out",I58&gt;0)),"Check type/direction",IF(AND(OR(E58="Transfer in",E58="Transfer out"),M58=""),"Add transfer pair ID",IF(AND(OR(E58="Transfer in",E58="Transfer out"),COUNTIFS($M$7:$M$506,M58,$D$7:$D$506,D58)&lt;&gt;2),"Check transfer pair",IF(AND(E58="Expense",K58=""),"Assign budget fund",IF(AND(E58="Expense",L58=""),"Add receipt / proof",""))))))))))</x:f>
      </x:c>
    </x:row>
    <x:row r="59" ht="24" customHeight="1">
      <x:c r="A59" s="10"/>
      <x:c r="B59" s="5"/>
      <x:c r="C59" s="10"/>
      <x:c r="D59" s="10"/>
      <x:c r="E59" s="10"/>
      <x:c r="F59" s="10"/>
      <x:c r="G59" s="10"/>
      <x:c r="H59" s="10"/>
      <x:c r="I59" s="11"/>
      <x:c r="J59" s="11"/>
      <x:c r="K59" s="10"/>
      <x:c r="L59" s="10"/>
      <x:c r="M59" s="10"/>
      <x:c r="N59" s="10"/>
      <x:c r="O59" s="1" t="str">
        <x:f>IF(COUNTA(A59:N59)=0,"",IF(OR(A59="",B59="",C59="",NOT(ISNUMBER(D59)),NOT(ISNUMBER(E59))),"Complete required fields",IF(COUNTIFS($A$7:$A$506,A59)&gt;1,"Duplicate ID",IF(COUNTIFS('Accounts'!$A$7:$A$26,C59,'Accounts'!$B$7:$B$26,D59)&lt;&gt;1,"Check account/currency",IF(OR(I59&lt;0,J59&lt;0,AND(I59&gt;0,J59&gt;0),AND(I59=0,J59=0)),"Check amounts",IF(OR(AND(E59="Income",J59&gt;0),AND(E59="Expense",I59&gt;0),AND(E59="Transfer in",J59&gt;0),AND(E59="Transfer out",I59&gt;0)),"Check type/direction",IF(AND(OR(E59="Transfer in",E59="Transfer out"),M59=""),"Add transfer pair ID",IF(AND(OR(E59="Transfer in",E59="Transfer out"),COUNTIFS($M$7:$M$506,M59,$D$7:$D$506,D59)&lt;&gt;2),"Check transfer pair",IF(AND(E59="Expense",K59=""),"Assign budget fund",IF(AND(E59="Expense",L59=""),"Add receipt / proof",""))))))))))</x:f>
      </x:c>
    </x:row>
    <x:row r="60" ht="24" customHeight="1">
      <x:c r="A60" s="10"/>
      <x:c r="B60" s="5"/>
      <x:c r="C60" s="10"/>
      <x:c r="D60" s="10"/>
      <x:c r="E60" s="10"/>
      <x:c r="F60" s="10"/>
      <x:c r="G60" s="10"/>
      <x:c r="H60" s="10"/>
      <x:c r="I60" s="11"/>
      <x:c r="J60" s="11"/>
      <x:c r="K60" s="10"/>
      <x:c r="L60" s="10"/>
      <x:c r="M60" s="10"/>
      <x:c r="N60" s="10"/>
      <x:c r="O60" s="1" t="str">
        <x:f>IF(COUNTA(A60:N60)=0,"",IF(OR(A60="",B60="",C60="",NOT(ISNUMBER(D60)),NOT(ISNUMBER(E60))),"Complete required fields",IF(COUNTIFS($A$7:$A$506,A60)&gt;1,"Duplicate ID",IF(COUNTIFS('Accounts'!$A$7:$A$26,C60,'Accounts'!$B$7:$B$26,D60)&lt;&gt;1,"Check account/currency",IF(OR(I60&lt;0,J60&lt;0,AND(I60&gt;0,J60&gt;0),AND(I60=0,J60=0)),"Check amounts",IF(OR(AND(E60="Income",J60&gt;0),AND(E60="Expense",I60&gt;0),AND(E60="Transfer in",J60&gt;0),AND(E60="Transfer out",I60&gt;0)),"Check type/direction",IF(AND(OR(E60="Transfer in",E60="Transfer out"),M60=""),"Add transfer pair ID",IF(AND(OR(E60="Transfer in",E60="Transfer out"),COUNTIFS($M$7:$M$506,M60,$D$7:$D$506,D60)&lt;&gt;2),"Check transfer pair",IF(AND(E60="Expense",K60=""),"Assign budget fund",IF(AND(E60="Expense",L60=""),"Add receipt / proof",""))))))))))</x:f>
      </x:c>
    </x:row>
    <x:row r="61" ht="24" customHeight="1">
      <x:c r="A61" s="10"/>
      <x:c r="B61" s="5"/>
      <x:c r="C61" s="10"/>
      <x:c r="D61" s="10"/>
      <x:c r="E61" s="10"/>
      <x:c r="F61" s="10"/>
      <x:c r="G61" s="10"/>
      <x:c r="H61" s="10"/>
      <x:c r="I61" s="11"/>
      <x:c r="J61" s="11"/>
      <x:c r="K61" s="10"/>
      <x:c r="L61" s="10"/>
      <x:c r="M61" s="10"/>
      <x:c r="N61" s="10"/>
      <x:c r="O61" s="1" t="str">
        <x:f>IF(COUNTA(A61:N61)=0,"",IF(OR(A61="",B61="",C61="",NOT(ISNUMBER(D61)),NOT(ISNUMBER(E61))),"Complete required fields",IF(COUNTIFS($A$7:$A$506,A61)&gt;1,"Duplicate ID",IF(COUNTIFS('Accounts'!$A$7:$A$26,C61,'Accounts'!$B$7:$B$26,D61)&lt;&gt;1,"Check account/currency",IF(OR(I61&lt;0,J61&lt;0,AND(I61&gt;0,J61&gt;0),AND(I61=0,J61=0)),"Check amounts",IF(OR(AND(E61="Income",J61&gt;0),AND(E61="Expense",I61&gt;0),AND(E61="Transfer in",J61&gt;0),AND(E61="Transfer out",I61&gt;0)),"Check type/direction",IF(AND(OR(E61="Transfer in",E61="Transfer out"),M61=""),"Add transfer pair ID",IF(AND(OR(E61="Transfer in",E61="Transfer out"),COUNTIFS($M$7:$M$506,M61,$D$7:$D$506,D61)&lt;&gt;2),"Check transfer pair",IF(AND(E61="Expense",K61=""),"Assign budget fund",IF(AND(E61="Expense",L61=""),"Add receipt / proof",""))))))))))</x:f>
      </x:c>
    </x:row>
    <x:row r="62" ht="24" customHeight="1">
      <x:c r="A62" s="10"/>
      <x:c r="B62" s="5"/>
      <x:c r="C62" s="10"/>
      <x:c r="D62" s="10"/>
      <x:c r="E62" s="10"/>
      <x:c r="F62" s="10"/>
      <x:c r="G62" s="10"/>
      <x:c r="H62" s="10"/>
      <x:c r="I62" s="11"/>
      <x:c r="J62" s="11"/>
      <x:c r="K62" s="10"/>
      <x:c r="L62" s="10"/>
      <x:c r="M62" s="10"/>
      <x:c r="N62" s="10"/>
      <x:c r="O62" s="1" t="str">
        <x:f>IF(COUNTA(A62:N62)=0,"",IF(OR(A62="",B62="",C62="",NOT(ISNUMBER(D62)),NOT(ISNUMBER(E62))),"Complete required fields",IF(COUNTIFS($A$7:$A$506,A62)&gt;1,"Duplicate ID",IF(COUNTIFS('Accounts'!$A$7:$A$26,C62,'Accounts'!$B$7:$B$26,D62)&lt;&gt;1,"Check account/currency",IF(OR(I62&lt;0,J62&lt;0,AND(I62&gt;0,J62&gt;0),AND(I62=0,J62=0)),"Check amounts",IF(OR(AND(E62="Income",J62&gt;0),AND(E62="Expense",I62&gt;0),AND(E62="Transfer in",J62&gt;0),AND(E62="Transfer out",I62&gt;0)),"Check type/direction",IF(AND(OR(E62="Transfer in",E62="Transfer out"),M62=""),"Add transfer pair ID",IF(AND(OR(E62="Transfer in",E62="Transfer out"),COUNTIFS($M$7:$M$506,M62,$D$7:$D$506,D62)&lt;&gt;2),"Check transfer pair",IF(AND(E62="Expense",K62=""),"Assign budget fund",IF(AND(E62="Expense",L62=""),"Add receipt / proof",""))))))))))</x:f>
      </x:c>
    </x:row>
    <x:row r="63" ht="24" customHeight="1">
      <x:c r="A63" s="10"/>
      <x:c r="B63" s="5"/>
      <x:c r="C63" s="10"/>
      <x:c r="D63" s="10"/>
      <x:c r="E63" s="10"/>
      <x:c r="F63" s="10"/>
      <x:c r="G63" s="10"/>
      <x:c r="H63" s="10"/>
      <x:c r="I63" s="11"/>
      <x:c r="J63" s="11"/>
      <x:c r="K63" s="10"/>
      <x:c r="L63" s="10"/>
      <x:c r="M63" s="10"/>
      <x:c r="N63" s="10"/>
      <x:c r="O63" s="1" t="str">
        <x:f>IF(COUNTA(A63:N63)=0,"",IF(OR(A63="",B63="",C63="",NOT(ISNUMBER(D63)),NOT(ISNUMBER(E63))),"Complete required fields",IF(COUNTIFS($A$7:$A$506,A63)&gt;1,"Duplicate ID",IF(COUNTIFS('Accounts'!$A$7:$A$26,C63,'Accounts'!$B$7:$B$26,D63)&lt;&gt;1,"Check account/currency",IF(OR(I63&lt;0,J63&lt;0,AND(I63&gt;0,J63&gt;0),AND(I63=0,J63=0)),"Check amounts",IF(OR(AND(E63="Income",J63&gt;0),AND(E63="Expense",I63&gt;0),AND(E63="Transfer in",J63&gt;0),AND(E63="Transfer out",I63&gt;0)),"Check type/direction",IF(AND(OR(E63="Transfer in",E63="Transfer out"),M63=""),"Add transfer pair ID",IF(AND(OR(E63="Transfer in",E63="Transfer out"),COUNTIFS($M$7:$M$506,M63,$D$7:$D$506,D63)&lt;&gt;2),"Check transfer pair",IF(AND(E63="Expense",K63=""),"Assign budget fund",IF(AND(E63="Expense",L63=""),"Add receipt / proof",""))))))))))</x:f>
      </x:c>
    </x:row>
    <x:row r="64" ht="24" customHeight="1">
      <x:c r="A64" s="10"/>
      <x:c r="B64" s="5"/>
      <x:c r="C64" s="10"/>
      <x:c r="D64" s="10"/>
      <x:c r="E64" s="10"/>
      <x:c r="F64" s="10"/>
      <x:c r="G64" s="10"/>
      <x:c r="H64" s="10"/>
      <x:c r="I64" s="11"/>
      <x:c r="J64" s="11"/>
      <x:c r="K64" s="10"/>
      <x:c r="L64" s="10"/>
      <x:c r="M64" s="10"/>
      <x:c r="N64" s="10"/>
      <x:c r="O64" s="1" t="str">
        <x:f>IF(COUNTA(A64:N64)=0,"",IF(OR(A64="",B64="",C64="",NOT(ISNUMBER(D64)),NOT(ISNUMBER(E64))),"Complete required fields",IF(COUNTIFS($A$7:$A$506,A64)&gt;1,"Duplicate ID",IF(COUNTIFS('Accounts'!$A$7:$A$26,C64,'Accounts'!$B$7:$B$26,D64)&lt;&gt;1,"Check account/currency",IF(OR(I64&lt;0,J64&lt;0,AND(I64&gt;0,J64&gt;0),AND(I64=0,J64=0)),"Check amounts",IF(OR(AND(E64="Income",J64&gt;0),AND(E64="Expense",I64&gt;0),AND(E64="Transfer in",J64&gt;0),AND(E64="Transfer out",I64&gt;0)),"Check type/direction",IF(AND(OR(E64="Transfer in",E64="Transfer out"),M64=""),"Add transfer pair ID",IF(AND(OR(E64="Transfer in",E64="Transfer out"),COUNTIFS($M$7:$M$506,M64,$D$7:$D$506,D64)&lt;&gt;2),"Check transfer pair",IF(AND(E64="Expense",K64=""),"Assign budget fund",IF(AND(E64="Expense",L64=""),"Add receipt / proof",""))))))))))</x:f>
      </x:c>
    </x:row>
    <x:row r="65" ht="24" customHeight="1">
      <x:c r="A65" s="10"/>
      <x:c r="B65" s="5"/>
      <x:c r="C65" s="10"/>
      <x:c r="D65" s="10"/>
      <x:c r="E65" s="10"/>
      <x:c r="F65" s="10"/>
      <x:c r="G65" s="10"/>
      <x:c r="H65" s="10"/>
      <x:c r="I65" s="11"/>
      <x:c r="J65" s="11"/>
      <x:c r="K65" s="10"/>
      <x:c r="L65" s="10"/>
      <x:c r="M65" s="10"/>
      <x:c r="N65" s="10"/>
      <x:c r="O65" s="1" t="str">
        <x:f>IF(COUNTA(A65:N65)=0,"",IF(OR(A65="",B65="",C65="",NOT(ISNUMBER(D65)),NOT(ISNUMBER(E65))),"Complete required fields",IF(COUNTIFS($A$7:$A$506,A65)&gt;1,"Duplicate ID",IF(COUNTIFS('Accounts'!$A$7:$A$26,C65,'Accounts'!$B$7:$B$26,D65)&lt;&gt;1,"Check account/currency",IF(OR(I65&lt;0,J65&lt;0,AND(I65&gt;0,J65&gt;0),AND(I65=0,J65=0)),"Check amounts",IF(OR(AND(E65="Income",J65&gt;0),AND(E65="Expense",I65&gt;0),AND(E65="Transfer in",J65&gt;0),AND(E65="Transfer out",I65&gt;0)),"Check type/direction",IF(AND(OR(E65="Transfer in",E65="Transfer out"),M65=""),"Add transfer pair ID",IF(AND(OR(E65="Transfer in",E65="Transfer out"),COUNTIFS($M$7:$M$506,M65,$D$7:$D$506,D65)&lt;&gt;2),"Check transfer pair",IF(AND(E65="Expense",K65=""),"Assign budget fund",IF(AND(E65="Expense",L65=""),"Add receipt / proof",""))))))))))</x:f>
      </x:c>
    </x:row>
    <x:row r="66" ht="24" customHeight="1">
      <x:c r="A66" s="10"/>
      <x:c r="B66" s="5"/>
      <x:c r="C66" s="10"/>
      <x:c r="D66" s="10"/>
      <x:c r="E66" s="10"/>
      <x:c r="F66" s="10"/>
      <x:c r="G66" s="10"/>
      <x:c r="H66" s="10"/>
      <x:c r="I66" s="11"/>
      <x:c r="J66" s="11"/>
      <x:c r="K66" s="10"/>
      <x:c r="L66" s="10"/>
      <x:c r="M66" s="10"/>
      <x:c r="N66" s="10"/>
      <x:c r="O66" s="1" t="str">
        <x:f>IF(COUNTA(A66:N66)=0,"",IF(OR(A66="",B66="",C66="",NOT(ISNUMBER(D66)),NOT(ISNUMBER(E66))),"Complete required fields",IF(COUNTIFS($A$7:$A$506,A66)&gt;1,"Duplicate ID",IF(COUNTIFS('Accounts'!$A$7:$A$26,C66,'Accounts'!$B$7:$B$26,D66)&lt;&gt;1,"Check account/currency",IF(OR(I66&lt;0,J66&lt;0,AND(I66&gt;0,J66&gt;0),AND(I66=0,J66=0)),"Check amounts",IF(OR(AND(E66="Income",J66&gt;0),AND(E66="Expense",I66&gt;0),AND(E66="Transfer in",J66&gt;0),AND(E66="Transfer out",I66&gt;0)),"Check type/direction",IF(AND(OR(E66="Transfer in",E66="Transfer out"),M66=""),"Add transfer pair ID",IF(AND(OR(E66="Transfer in",E66="Transfer out"),COUNTIFS($M$7:$M$506,M66,$D$7:$D$506,D66)&lt;&gt;2),"Check transfer pair",IF(AND(E66="Expense",K66=""),"Assign budget fund",IF(AND(E66="Expense",L66=""),"Add receipt / proof",""))))))))))</x:f>
      </x:c>
    </x:row>
    <x:row r="67" ht="24" customHeight="1">
      <x:c r="A67" s="10"/>
      <x:c r="B67" s="5"/>
      <x:c r="C67" s="10"/>
      <x:c r="D67" s="10"/>
      <x:c r="E67" s="10"/>
      <x:c r="F67" s="10"/>
      <x:c r="G67" s="10"/>
      <x:c r="H67" s="10"/>
      <x:c r="I67" s="11"/>
      <x:c r="J67" s="11"/>
      <x:c r="K67" s="10"/>
      <x:c r="L67" s="10"/>
      <x:c r="M67" s="10"/>
      <x:c r="N67" s="10"/>
      <x:c r="O67" s="1" t="str">
        <x:f>IF(COUNTA(A67:N67)=0,"",IF(OR(A67="",B67="",C67="",NOT(ISNUMBER(D67)),NOT(ISNUMBER(E67))),"Complete required fields",IF(COUNTIFS($A$7:$A$506,A67)&gt;1,"Duplicate ID",IF(COUNTIFS('Accounts'!$A$7:$A$26,C67,'Accounts'!$B$7:$B$26,D67)&lt;&gt;1,"Check account/currency",IF(OR(I67&lt;0,J67&lt;0,AND(I67&gt;0,J67&gt;0),AND(I67=0,J67=0)),"Check amounts",IF(OR(AND(E67="Income",J67&gt;0),AND(E67="Expense",I67&gt;0),AND(E67="Transfer in",J67&gt;0),AND(E67="Transfer out",I67&gt;0)),"Check type/direction",IF(AND(OR(E67="Transfer in",E67="Transfer out"),M67=""),"Add transfer pair ID",IF(AND(OR(E67="Transfer in",E67="Transfer out"),COUNTIFS($M$7:$M$506,M67,$D$7:$D$506,D67)&lt;&gt;2),"Check transfer pair",IF(AND(E67="Expense",K67=""),"Assign budget fund",IF(AND(E67="Expense",L67=""),"Add receipt / proof",""))))))))))</x:f>
      </x:c>
    </x:row>
    <x:row r="68" ht="24" customHeight="1">
      <x:c r="A68" s="10"/>
      <x:c r="B68" s="5"/>
      <x:c r="C68" s="10"/>
      <x:c r="D68" s="10"/>
      <x:c r="E68" s="10"/>
      <x:c r="F68" s="10"/>
      <x:c r="G68" s="10"/>
      <x:c r="H68" s="10"/>
      <x:c r="I68" s="11"/>
      <x:c r="J68" s="11"/>
      <x:c r="K68" s="10"/>
      <x:c r="L68" s="10"/>
      <x:c r="M68" s="10"/>
      <x:c r="N68" s="10"/>
      <x:c r="O68" s="1" t="str">
        <x:f>IF(COUNTA(A68:N68)=0,"",IF(OR(A68="",B68="",C68="",NOT(ISNUMBER(D68)),NOT(ISNUMBER(E68))),"Complete required fields",IF(COUNTIFS($A$7:$A$506,A68)&gt;1,"Duplicate ID",IF(COUNTIFS('Accounts'!$A$7:$A$26,C68,'Accounts'!$B$7:$B$26,D68)&lt;&gt;1,"Check account/currency",IF(OR(I68&lt;0,J68&lt;0,AND(I68&gt;0,J68&gt;0),AND(I68=0,J68=0)),"Check amounts",IF(OR(AND(E68="Income",J68&gt;0),AND(E68="Expense",I68&gt;0),AND(E68="Transfer in",J68&gt;0),AND(E68="Transfer out",I68&gt;0)),"Check type/direction",IF(AND(OR(E68="Transfer in",E68="Transfer out"),M68=""),"Add transfer pair ID",IF(AND(OR(E68="Transfer in",E68="Transfer out"),COUNTIFS($M$7:$M$506,M68,$D$7:$D$506,D68)&lt;&gt;2),"Check transfer pair",IF(AND(E68="Expense",K68=""),"Assign budget fund",IF(AND(E68="Expense",L68=""),"Add receipt / proof",""))))))))))</x:f>
      </x:c>
    </x:row>
    <x:row r="69" ht="24" customHeight="1">
      <x:c r="A69" s="10"/>
      <x:c r="B69" s="5"/>
      <x:c r="C69" s="10"/>
      <x:c r="D69" s="10"/>
      <x:c r="E69" s="10"/>
      <x:c r="F69" s="10"/>
      <x:c r="G69" s="10"/>
      <x:c r="H69" s="10"/>
      <x:c r="I69" s="11"/>
      <x:c r="J69" s="11"/>
      <x:c r="K69" s="10"/>
      <x:c r="L69" s="10"/>
      <x:c r="M69" s="10"/>
      <x:c r="N69" s="10"/>
      <x:c r="O69" s="1" t="str">
        <x:f>IF(COUNTA(A69:N69)=0,"",IF(OR(A69="",B69="",C69="",NOT(ISNUMBER(D69)),NOT(ISNUMBER(E69))),"Complete required fields",IF(COUNTIFS($A$7:$A$506,A69)&gt;1,"Duplicate ID",IF(COUNTIFS('Accounts'!$A$7:$A$26,C69,'Accounts'!$B$7:$B$26,D69)&lt;&gt;1,"Check account/currency",IF(OR(I69&lt;0,J69&lt;0,AND(I69&gt;0,J69&gt;0),AND(I69=0,J69=0)),"Check amounts",IF(OR(AND(E69="Income",J69&gt;0),AND(E69="Expense",I69&gt;0),AND(E69="Transfer in",J69&gt;0),AND(E69="Transfer out",I69&gt;0)),"Check type/direction",IF(AND(OR(E69="Transfer in",E69="Transfer out"),M69=""),"Add transfer pair ID",IF(AND(OR(E69="Transfer in",E69="Transfer out"),COUNTIFS($M$7:$M$506,M69,$D$7:$D$506,D69)&lt;&gt;2),"Check transfer pair",IF(AND(E69="Expense",K69=""),"Assign budget fund",IF(AND(E69="Expense",L69=""),"Add receipt / proof",""))))))))))</x:f>
      </x:c>
    </x:row>
    <x:row r="70" ht="24" customHeight="1">
      <x:c r="A70" s="10"/>
      <x:c r="B70" s="5"/>
      <x:c r="C70" s="10"/>
      <x:c r="D70" s="10"/>
      <x:c r="E70" s="10"/>
      <x:c r="F70" s="10"/>
      <x:c r="G70" s="10"/>
      <x:c r="H70" s="10"/>
      <x:c r="I70" s="11"/>
      <x:c r="J70" s="11"/>
      <x:c r="K70" s="10"/>
      <x:c r="L70" s="10"/>
      <x:c r="M70" s="10"/>
      <x:c r="N70" s="10"/>
      <x:c r="O70" s="1" t="str">
        <x:f>IF(COUNTA(A70:N70)=0,"",IF(OR(A70="",B70="",C70="",NOT(ISNUMBER(D70)),NOT(ISNUMBER(E70))),"Complete required fields",IF(COUNTIFS($A$7:$A$506,A70)&gt;1,"Duplicate ID",IF(COUNTIFS('Accounts'!$A$7:$A$26,C70,'Accounts'!$B$7:$B$26,D70)&lt;&gt;1,"Check account/currency",IF(OR(I70&lt;0,J70&lt;0,AND(I70&gt;0,J70&gt;0),AND(I70=0,J70=0)),"Check amounts",IF(OR(AND(E70="Income",J70&gt;0),AND(E70="Expense",I70&gt;0),AND(E70="Transfer in",J70&gt;0),AND(E70="Transfer out",I70&gt;0)),"Check type/direction",IF(AND(OR(E70="Transfer in",E70="Transfer out"),M70=""),"Add transfer pair ID",IF(AND(OR(E70="Transfer in",E70="Transfer out"),COUNTIFS($M$7:$M$506,M70,$D$7:$D$506,D70)&lt;&gt;2),"Check transfer pair",IF(AND(E70="Expense",K70=""),"Assign budget fund",IF(AND(E70="Expense",L70=""),"Add receipt / proof",""))))))))))</x:f>
      </x:c>
    </x:row>
    <x:row r="71" ht="24" customHeight="1">
      <x:c r="A71" s="10"/>
      <x:c r="B71" s="5"/>
      <x:c r="C71" s="10"/>
      <x:c r="D71" s="10"/>
      <x:c r="E71" s="10"/>
      <x:c r="F71" s="10"/>
      <x:c r="G71" s="10"/>
      <x:c r="H71" s="10"/>
      <x:c r="I71" s="11"/>
      <x:c r="J71" s="11"/>
      <x:c r="K71" s="10"/>
      <x:c r="L71" s="10"/>
      <x:c r="M71" s="10"/>
      <x:c r="N71" s="10"/>
      <x:c r="O71" s="1" t="str">
        <x:f>IF(COUNTA(A71:N71)=0,"",IF(OR(A71="",B71="",C71="",NOT(ISNUMBER(D71)),NOT(ISNUMBER(E71))),"Complete required fields",IF(COUNTIFS($A$7:$A$506,A71)&gt;1,"Duplicate ID",IF(COUNTIFS('Accounts'!$A$7:$A$26,C71,'Accounts'!$B$7:$B$26,D71)&lt;&gt;1,"Check account/currency",IF(OR(I71&lt;0,J71&lt;0,AND(I71&gt;0,J71&gt;0),AND(I71=0,J71=0)),"Check amounts",IF(OR(AND(E71="Income",J71&gt;0),AND(E71="Expense",I71&gt;0),AND(E71="Transfer in",J71&gt;0),AND(E71="Transfer out",I71&gt;0)),"Check type/direction",IF(AND(OR(E71="Transfer in",E71="Transfer out"),M71=""),"Add transfer pair ID",IF(AND(OR(E71="Transfer in",E71="Transfer out"),COUNTIFS($M$7:$M$506,M71,$D$7:$D$506,D71)&lt;&gt;2),"Check transfer pair",IF(AND(E71="Expense",K71=""),"Assign budget fund",IF(AND(E71="Expense",L71=""),"Add receipt / proof",""))))))))))</x:f>
      </x:c>
    </x:row>
    <x:row r="72" ht="24" customHeight="1">
      <x:c r="A72" s="10"/>
      <x:c r="B72" s="5"/>
      <x:c r="C72" s="10"/>
      <x:c r="D72" s="10"/>
      <x:c r="E72" s="10"/>
      <x:c r="F72" s="10"/>
      <x:c r="G72" s="10"/>
      <x:c r="H72" s="10"/>
      <x:c r="I72" s="11"/>
      <x:c r="J72" s="11"/>
      <x:c r="K72" s="10"/>
      <x:c r="L72" s="10"/>
      <x:c r="M72" s="10"/>
      <x:c r="N72" s="10"/>
      <x:c r="O72" s="1" t="str">
        <x:f>IF(COUNTA(A72:N72)=0,"",IF(OR(A72="",B72="",C72="",NOT(ISNUMBER(D72)),NOT(ISNUMBER(E72))),"Complete required fields",IF(COUNTIFS($A$7:$A$506,A72)&gt;1,"Duplicate ID",IF(COUNTIFS('Accounts'!$A$7:$A$26,C72,'Accounts'!$B$7:$B$26,D72)&lt;&gt;1,"Check account/currency",IF(OR(I72&lt;0,J72&lt;0,AND(I72&gt;0,J72&gt;0),AND(I72=0,J72=0)),"Check amounts",IF(OR(AND(E72="Income",J72&gt;0),AND(E72="Expense",I72&gt;0),AND(E72="Transfer in",J72&gt;0),AND(E72="Transfer out",I72&gt;0)),"Check type/direction",IF(AND(OR(E72="Transfer in",E72="Transfer out"),M72=""),"Add transfer pair ID",IF(AND(OR(E72="Transfer in",E72="Transfer out"),COUNTIFS($M$7:$M$506,M72,$D$7:$D$506,D72)&lt;&gt;2),"Check transfer pair",IF(AND(E72="Expense",K72=""),"Assign budget fund",IF(AND(E72="Expense",L72=""),"Add receipt / proof",""))))))))))</x:f>
      </x:c>
    </x:row>
    <x:row r="73" ht="24" customHeight="1">
      <x:c r="A73" s="10"/>
      <x:c r="B73" s="5"/>
      <x:c r="C73" s="10"/>
      <x:c r="D73" s="10"/>
      <x:c r="E73" s="10"/>
      <x:c r="F73" s="10"/>
      <x:c r="G73" s="10"/>
      <x:c r="H73" s="10"/>
      <x:c r="I73" s="11"/>
      <x:c r="J73" s="11"/>
      <x:c r="K73" s="10"/>
      <x:c r="L73" s="10"/>
      <x:c r="M73" s="10"/>
      <x:c r="N73" s="10"/>
      <x:c r="O73" s="1" t="str">
        <x:f>IF(COUNTA(A73:N73)=0,"",IF(OR(A73="",B73="",C73="",NOT(ISNUMBER(D73)),NOT(ISNUMBER(E73))),"Complete required fields",IF(COUNTIFS($A$7:$A$506,A73)&gt;1,"Duplicate ID",IF(COUNTIFS('Accounts'!$A$7:$A$26,C73,'Accounts'!$B$7:$B$26,D73)&lt;&gt;1,"Check account/currency",IF(OR(I73&lt;0,J73&lt;0,AND(I73&gt;0,J73&gt;0),AND(I73=0,J73=0)),"Check amounts",IF(OR(AND(E73="Income",J73&gt;0),AND(E73="Expense",I73&gt;0),AND(E73="Transfer in",J73&gt;0),AND(E73="Transfer out",I73&gt;0)),"Check type/direction",IF(AND(OR(E73="Transfer in",E73="Transfer out"),M73=""),"Add transfer pair ID",IF(AND(OR(E73="Transfer in",E73="Transfer out"),COUNTIFS($M$7:$M$506,M73,$D$7:$D$506,D73)&lt;&gt;2),"Check transfer pair",IF(AND(E73="Expense",K73=""),"Assign budget fund",IF(AND(E73="Expense",L73=""),"Add receipt / proof",""))))))))))</x:f>
      </x:c>
    </x:row>
    <x:row r="74" ht="24" customHeight="1">
      <x:c r="A74" s="10"/>
      <x:c r="B74" s="5"/>
      <x:c r="C74" s="10"/>
      <x:c r="D74" s="10"/>
      <x:c r="E74" s="10"/>
      <x:c r="F74" s="10"/>
      <x:c r="G74" s="10"/>
      <x:c r="H74" s="10"/>
      <x:c r="I74" s="11"/>
      <x:c r="J74" s="11"/>
      <x:c r="K74" s="10"/>
      <x:c r="L74" s="10"/>
      <x:c r="M74" s="10"/>
      <x:c r="N74" s="10"/>
      <x:c r="O74" s="1" t="str">
        <x:f>IF(COUNTA(A74:N74)=0,"",IF(OR(A74="",B74="",C74="",NOT(ISNUMBER(D74)),NOT(ISNUMBER(E74))),"Complete required fields",IF(COUNTIFS($A$7:$A$506,A74)&gt;1,"Duplicate ID",IF(COUNTIFS('Accounts'!$A$7:$A$26,C74,'Accounts'!$B$7:$B$26,D74)&lt;&gt;1,"Check account/currency",IF(OR(I74&lt;0,J74&lt;0,AND(I74&gt;0,J74&gt;0),AND(I74=0,J74=0)),"Check amounts",IF(OR(AND(E74="Income",J74&gt;0),AND(E74="Expense",I74&gt;0),AND(E74="Transfer in",J74&gt;0),AND(E74="Transfer out",I74&gt;0)),"Check type/direction",IF(AND(OR(E74="Transfer in",E74="Transfer out"),M74=""),"Add transfer pair ID",IF(AND(OR(E74="Transfer in",E74="Transfer out"),COUNTIFS($M$7:$M$506,M74,$D$7:$D$506,D74)&lt;&gt;2),"Check transfer pair",IF(AND(E74="Expense",K74=""),"Assign budget fund",IF(AND(E74="Expense",L74=""),"Add receipt / proof",""))))))))))</x:f>
      </x:c>
    </x:row>
    <x:row r="75" ht="24" customHeight="1">
      <x:c r="A75" s="10"/>
      <x:c r="B75" s="5"/>
      <x:c r="C75" s="10"/>
      <x:c r="D75" s="10"/>
      <x:c r="E75" s="10"/>
      <x:c r="F75" s="10"/>
      <x:c r="G75" s="10"/>
      <x:c r="H75" s="10"/>
      <x:c r="I75" s="11"/>
      <x:c r="J75" s="11"/>
      <x:c r="K75" s="10"/>
      <x:c r="L75" s="10"/>
      <x:c r="M75" s="10"/>
      <x:c r="N75" s="10"/>
      <x:c r="O75" s="1" t="str">
        <x:f>IF(COUNTA(A75:N75)=0,"",IF(OR(A75="",B75="",C75="",NOT(ISNUMBER(D75)),NOT(ISNUMBER(E75))),"Complete required fields",IF(COUNTIFS($A$7:$A$506,A75)&gt;1,"Duplicate ID",IF(COUNTIFS('Accounts'!$A$7:$A$26,C75,'Accounts'!$B$7:$B$26,D75)&lt;&gt;1,"Check account/currency",IF(OR(I75&lt;0,J75&lt;0,AND(I75&gt;0,J75&gt;0),AND(I75=0,J75=0)),"Check amounts",IF(OR(AND(E75="Income",J75&gt;0),AND(E75="Expense",I75&gt;0),AND(E75="Transfer in",J75&gt;0),AND(E75="Transfer out",I75&gt;0)),"Check type/direction",IF(AND(OR(E75="Transfer in",E75="Transfer out"),M75=""),"Add transfer pair ID",IF(AND(OR(E75="Transfer in",E75="Transfer out"),COUNTIFS($M$7:$M$506,M75,$D$7:$D$506,D75)&lt;&gt;2),"Check transfer pair",IF(AND(E75="Expense",K75=""),"Assign budget fund",IF(AND(E75="Expense",L75=""),"Add receipt / proof",""))))))))))</x:f>
      </x:c>
    </x:row>
    <x:row r="76" ht="24" customHeight="1">
      <x:c r="A76" s="10"/>
      <x:c r="B76" s="5"/>
      <x:c r="C76" s="10"/>
      <x:c r="D76" s="10"/>
      <x:c r="E76" s="10"/>
      <x:c r="F76" s="10"/>
      <x:c r="G76" s="10"/>
      <x:c r="H76" s="10"/>
      <x:c r="I76" s="11"/>
      <x:c r="J76" s="11"/>
      <x:c r="K76" s="10"/>
      <x:c r="L76" s="10"/>
      <x:c r="M76" s="10"/>
      <x:c r="N76" s="10"/>
      <x:c r="O76" s="1" t="str">
        <x:f>IF(COUNTA(A76:N76)=0,"",IF(OR(A76="",B76="",C76="",NOT(ISNUMBER(D76)),NOT(ISNUMBER(E76))),"Complete required fields",IF(COUNTIFS($A$7:$A$506,A76)&gt;1,"Duplicate ID",IF(COUNTIFS('Accounts'!$A$7:$A$26,C76,'Accounts'!$B$7:$B$26,D76)&lt;&gt;1,"Check account/currency",IF(OR(I76&lt;0,J76&lt;0,AND(I76&gt;0,J76&gt;0),AND(I76=0,J76=0)),"Check amounts",IF(OR(AND(E76="Income",J76&gt;0),AND(E76="Expense",I76&gt;0),AND(E76="Transfer in",J76&gt;0),AND(E76="Transfer out",I76&gt;0)),"Check type/direction",IF(AND(OR(E76="Transfer in",E76="Transfer out"),M76=""),"Add transfer pair ID",IF(AND(OR(E76="Transfer in",E76="Transfer out"),COUNTIFS($M$7:$M$506,M76,$D$7:$D$506,D76)&lt;&gt;2),"Check transfer pair",IF(AND(E76="Expense",K76=""),"Assign budget fund",IF(AND(E76="Expense",L76=""),"Add receipt / proof",""))))))))))</x:f>
      </x:c>
    </x:row>
    <x:row r="77" ht="24" customHeight="1">
      <x:c r="A77" s="10"/>
      <x:c r="B77" s="5"/>
      <x:c r="C77" s="10"/>
      <x:c r="D77" s="10"/>
      <x:c r="E77" s="10"/>
      <x:c r="F77" s="10"/>
      <x:c r="G77" s="10"/>
      <x:c r="H77" s="10"/>
      <x:c r="I77" s="11"/>
      <x:c r="J77" s="11"/>
      <x:c r="K77" s="10"/>
      <x:c r="L77" s="10"/>
      <x:c r="M77" s="10"/>
      <x:c r="N77" s="10"/>
      <x:c r="O77" s="1" t="str">
        <x:f>IF(COUNTA(A77:N77)=0,"",IF(OR(A77="",B77="",C77="",NOT(ISNUMBER(D77)),NOT(ISNUMBER(E77))),"Complete required fields",IF(COUNTIFS($A$7:$A$506,A77)&gt;1,"Duplicate ID",IF(COUNTIFS('Accounts'!$A$7:$A$26,C77,'Accounts'!$B$7:$B$26,D77)&lt;&gt;1,"Check account/currency",IF(OR(I77&lt;0,J77&lt;0,AND(I77&gt;0,J77&gt;0),AND(I77=0,J77=0)),"Check amounts",IF(OR(AND(E77="Income",J77&gt;0),AND(E77="Expense",I77&gt;0),AND(E77="Transfer in",J77&gt;0),AND(E77="Transfer out",I77&gt;0)),"Check type/direction",IF(AND(OR(E77="Transfer in",E77="Transfer out"),M77=""),"Add transfer pair ID",IF(AND(OR(E77="Transfer in",E77="Transfer out"),COUNTIFS($M$7:$M$506,M77,$D$7:$D$506,D77)&lt;&gt;2),"Check transfer pair",IF(AND(E77="Expense",K77=""),"Assign budget fund",IF(AND(E77="Expense",L77=""),"Add receipt / proof",""))))))))))</x:f>
      </x:c>
    </x:row>
    <x:row r="78" ht="24" customHeight="1">
      <x:c r="A78" s="10"/>
      <x:c r="B78" s="5"/>
      <x:c r="C78" s="10"/>
      <x:c r="D78" s="10"/>
      <x:c r="E78" s="10"/>
      <x:c r="F78" s="10"/>
      <x:c r="G78" s="10"/>
      <x:c r="H78" s="10"/>
      <x:c r="I78" s="11"/>
      <x:c r="J78" s="11"/>
      <x:c r="K78" s="10"/>
      <x:c r="L78" s="10"/>
      <x:c r="M78" s="10"/>
      <x:c r="N78" s="10"/>
      <x:c r="O78" s="1" t="str">
        <x:f>IF(COUNTA(A78:N78)=0,"",IF(OR(A78="",B78="",C78="",NOT(ISNUMBER(D78)),NOT(ISNUMBER(E78))),"Complete required fields",IF(COUNTIFS($A$7:$A$506,A78)&gt;1,"Duplicate ID",IF(COUNTIFS('Accounts'!$A$7:$A$26,C78,'Accounts'!$B$7:$B$26,D78)&lt;&gt;1,"Check account/currency",IF(OR(I78&lt;0,J78&lt;0,AND(I78&gt;0,J78&gt;0),AND(I78=0,J78=0)),"Check amounts",IF(OR(AND(E78="Income",J78&gt;0),AND(E78="Expense",I78&gt;0),AND(E78="Transfer in",J78&gt;0),AND(E78="Transfer out",I78&gt;0)),"Check type/direction",IF(AND(OR(E78="Transfer in",E78="Transfer out"),M78=""),"Add transfer pair ID",IF(AND(OR(E78="Transfer in",E78="Transfer out"),COUNTIFS($M$7:$M$506,M78,$D$7:$D$506,D78)&lt;&gt;2),"Check transfer pair",IF(AND(E78="Expense",K78=""),"Assign budget fund",IF(AND(E78="Expense",L78=""),"Add receipt / proof",""))))))))))</x:f>
      </x:c>
    </x:row>
    <x:row r="79" ht="24" customHeight="1">
      <x:c r="A79" s="10"/>
      <x:c r="B79" s="5"/>
      <x:c r="C79" s="10"/>
      <x:c r="D79" s="10"/>
      <x:c r="E79" s="10"/>
      <x:c r="F79" s="10"/>
      <x:c r="G79" s="10"/>
      <x:c r="H79" s="10"/>
      <x:c r="I79" s="11"/>
      <x:c r="J79" s="11"/>
      <x:c r="K79" s="10"/>
      <x:c r="L79" s="10"/>
      <x:c r="M79" s="10"/>
      <x:c r="N79" s="10"/>
      <x:c r="O79" s="1" t="str">
        <x:f>IF(COUNTA(A79:N79)=0,"",IF(OR(A79="",B79="",C79="",NOT(ISNUMBER(D79)),NOT(ISNUMBER(E79))),"Complete required fields",IF(COUNTIFS($A$7:$A$506,A79)&gt;1,"Duplicate ID",IF(COUNTIFS('Accounts'!$A$7:$A$26,C79,'Accounts'!$B$7:$B$26,D79)&lt;&gt;1,"Check account/currency",IF(OR(I79&lt;0,J79&lt;0,AND(I79&gt;0,J79&gt;0),AND(I79=0,J79=0)),"Check amounts",IF(OR(AND(E79="Income",J79&gt;0),AND(E79="Expense",I79&gt;0),AND(E79="Transfer in",J79&gt;0),AND(E79="Transfer out",I79&gt;0)),"Check type/direction",IF(AND(OR(E79="Transfer in",E79="Transfer out"),M79=""),"Add transfer pair ID",IF(AND(OR(E79="Transfer in",E79="Transfer out"),COUNTIFS($M$7:$M$506,M79,$D$7:$D$506,D79)&lt;&gt;2),"Check transfer pair",IF(AND(E79="Expense",K79=""),"Assign budget fund",IF(AND(E79="Expense",L79=""),"Add receipt / proof",""))))))))))</x:f>
      </x:c>
    </x:row>
    <x:row r="80" ht="24" customHeight="1">
      <x:c r="A80" s="10"/>
      <x:c r="B80" s="5"/>
      <x:c r="C80" s="10"/>
      <x:c r="D80" s="10"/>
      <x:c r="E80" s="10"/>
      <x:c r="F80" s="10"/>
      <x:c r="G80" s="10"/>
      <x:c r="H80" s="10"/>
      <x:c r="I80" s="11"/>
      <x:c r="J80" s="11"/>
      <x:c r="K80" s="10"/>
      <x:c r="L80" s="10"/>
      <x:c r="M80" s="10"/>
      <x:c r="N80" s="10"/>
      <x:c r="O80" s="1" t="str">
        <x:f>IF(COUNTA(A80:N80)=0,"",IF(OR(A80="",B80="",C80="",NOT(ISNUMBER(D80)),NOT(ISNUMBER(E80))),"Complete required fields",IF(COUNTIFS($A$7:$A$506,A80)&gt;1,"Duplicate ID",IF(COUNTIFS('Accounts'!$A$7:$A$26,C80,'Accounts'!$B$7:$B$26,D80)&lt;&gt;1,"Check account/currency",IF(OR(I80&lt;0,J80&lt;0,AND(I80&gt;0,J80&gt;0),AND(I80=0,J80=0)),"Check amounts",IF(OR(AND(E80="Income",J80&gt;0),AND(E80="Expense",I80&gt;0),AND(E80="Transfer in",J80&gt;0),AND(E80="Transfer out",I80&gt;0)),"Check type/direction",IF(AND(OR(E80="Transfer in",E80="Transfer out"),M80=""),"Add transfer pair ID",IF(AND(OR(E80="Transfer in",E80="Transfer out"),COUNTIFS($M$7:$M$506,M80,$D$7:$D$506,D80)&lt;&gt;2),"Check transfer pair",IF(AND(E80="Expense",K80=""),"Assign budget fund",IF(AND(E80="Expense",L80=""),"Add receipt / proof",""))))))))))</x:f>
      </x:c>
    </x:row>
    <x:row r="81" ht="24" customHeight="1">
      <x:c r="A81" s="10"/>
      <x:c r="B81" s="5"/>
      <x:c r="C81" s="10"/>
      <x:c r="D81" s="10"/>
      <x:c r="E81" s="10"/>
      <x:c r="F81" s="10"/>
      <x:c r="G81" s="10"/>
      <x:c r="H81" s="10"/>
      <x:c r="I81" s="11"/>
      <x:c r="J81" s="11"/>
      <x:c r="K81" s="10"/>
      <x:c r="L81" s="10"/>
      <x:c r="M81" s="10"/>
      <x:c r="N81" s="10"/>
      <x:c r="O81" s="1" t="str">
        <x:f>IF(COUNTA(A81:N81)=0,"",IF(OR(A81="",B81="",C81="",NOT(ISNUMBER(D81)),NOT(ISNUMBER(E81))),"Complete required fields",IF(COUNTIFS($A$7:$A$506,A81)&gt;1,"Duplicate ID",IF(COUNTIFS('Accounts'!$A$7:$A$26,C81,'Accounts'!$B$7:$B$26,D81)&lt;&gt;1,"Check account/currency",IF(OR(I81&lt;0,J81&lt;0,AND(I81&gt;0,J81&gt;0),AND(I81=0,J81=0)),"Check amounts",IF(OR(AND(E81="Income",J81&gt;0),AND(E81="Expense",I81&gt;0),AND(E81="Transfer in",J81&gt;0),AND(E81="Transfer out",I81&gt;0)),"Check type/direction",IF(AND(OR(E81="Transfer in",E81="Transfer out"),M81=""),"Add transfer pair ID",IF(AND(OR(E81="Transfer in",E81="Transfer out"),COUNTIFS($M$7:$M$506,M81,$D$7:$D$506,D81)&lt;&gt;2),"Check transfer pair",IF(AND(E81="Expense",K81=""),"Assign budget fund",IF(AND(E81="Expense",L81=""),"Add receipt / proof",""))))))))))</x:f>
      </x:c>
    </x:row>
    <x:row r="82" ht="24" customHeight="1">
      <x:c r="A82" s="10"/>
      <x:c r="B82" s="5"/>
      <x:c r="C82" s="10"/>
      <x:c r="D82" s="10"/>
      <x:c r="E82" s="10"/>
      <x:c r="F82" s="10"/>
      <x:c r="G82" s="10"/>
      <x:c r="H82" s="10"/>
      <x:c r="I82" s="11"/>
      <x:c r="J82" s="11"/>
      <x:c r="K82" s="10"/>
      <x:c r="L82" s="10"/>
      <x:c r="M82" s="10"/>
      <x:c r="N82" s="10"/>
      <x:c r="O82" s="1" t="str">
        <x:f>IF(COUNTA(A82:N82)=0,"",IF(OR(A82="",B82="",C82="",NOT(ISNUMBER(D82)),NOT(ISNUMBER(E82))),"Complete required fields",IF(COUNTIFS($A$7:$A$506,A82)&gt;1,"Duplicate ID",IF(COUNTIFS('Accounts'!$A$7:$A$26,C82,'Accounts'!$B$7:$B$26,D82)&lt;&gt;1,"Check account/currency",IF(OR(I82&lt;0,J82&lt;0,AND(I82&gt;0,J82&gt;0),AND(I82=0,J82=0)),"Check amounts",IF(OR(AND(E82="Income",J82&gt;0),AND(E82="Expense",I82&gt;0),AND(E82="Transfer in",J82&gt;0),AND(E82="Transfer out",I82&gt;0)),"Check type/direction",IF(AND(OR(E82="Transfer in",E82="Transfer out"),M82=""),"Add transfer pair ID",IF(AND(OR(E82="Transfer in",E82="Transfer out"),COUNTIFS($M$7:$M$506,M82,$D$7:$D$506,D82)&lt;&gt;2),"Check transfer pair",IF(AND(E82="Expense",K82=""),"Assign budget fund",IF(AND(E82="Expense",L82=""),"Add receipt / proof",""))))))))))</x:f>
      </x:c>
    </x:row>
    <x:row r="83" ht="24" customHeight="1">
      <x:c r="A83" s="10"/>
      <x:c r="B83" s="5"/>
      <x:c r="C83" s="10"/>
      <x:c r="D83" s="10"/>
      <x:c r="E83" s="10"/>
      <x:c r="F83" s="10"/>
      <x:c r="G83" s="10"/>
      <x:c r="H83" s="10"/>
      <x:c r="I83" s="11"/>
      <x:c r="J83" s="11"/>
      <x:c r="K83" s="10"/>
      <x:c r="L83" s="10"/>
      <x:c r="M83" s="10"/>
      <x:c r="N83" s="10"/>
      <x:c r="O83" s="1" t="str">
        <x:f>IF(COUNTA(A83:N83)=0,"",IF(OR(A83="",B83="",C83="",NOT(ISNUMBER(D83)),NOT(ISNUMBER(E83))),"Complete required fields",IF(COUNTIFS($A$7:$A$506,A83)&gt;1,"Duplicate ID",IF(COUNTIFS('Accounts'!$A$7:$A$26,C83,'Accounts'!$B$7:$B$26,D83)&lt;&gt;1,"Check account/currency",IF(OR(I83&lt;0,J83&lt;0,AND(I83&gt;0,J83&gt;0),AND(I83=0,J83=0)),"Check amounts",IF(OR(AND(E83="Income",J83&gt;0),AND(E83="Expense",I83&gt;0),AND(E83="Transfer in",J83&gt;0),AND(E83="Transfer out",I83&gt;0)),"Check type/direction",IF(AND(OR(E83="Transfer in",E83="Transfer out"),M83=""),"Add transfer pair ID",IF(AND(OR(E83="Transfer in",E83="Transfer out"),COUNTIFS($M$7:$M$506,M83,$D$7:$D$506,D83)&lt;&gt;2),"Check transfer pair",IF(AND(E83="Expense",K83=""),"Assign budget fund",IF(AND(E83="Expense",L83=""),"Add receipt / proof",""))))))))))</x:f>
      </x:c>
    </x:row>
    <x:row r="84" ht="24" customHeight="1">
      <x:c r="A84" s="10"/>
      <x:c r="B84" s="5"/>
      <x:c r="C84" s="10"/>
      <x:c r="D84" s="10"/>
      <x:c r="E84" s="10"/>
      <x:c r="F84" s="10"/>
      <x:c r="G84" s="10"/>
      <x:c r="H84" s="10"/>
      <x:c r="I84" s="11"/>
      <x:c r="J84" s="11"/>
      <x:c r="K84" s="10"/>
      <x:c r="L84" s="10"/>
      <x:c r="M84" s="10"/>
      <x:c r="N84" s="10"/>
      <x:c r="O84" s="1" t="str">
        <x:f>IF(COUNTA(A84:N84)=0,"",IF(OR(A84="",B84="",C84="",NOT(ISNUMBER(D84)),NOT(ISNUMBER(E84))),"Complete required fields",IF(COUNTIFS($A$7:$A$506,A84)&gt;1,"Duplicate ID",IF(COUNTIFS('Accounts'!$A$7:$A$26,C84,'Accounts'!$B$7:$B$26,D84)&lt;&gt;1,"Check account/currency",IF(OR(I84&lt;0,J84&lt;0,AND(I84&gt;0,J84&gt;0),AND(I84=0,J84=0)),"Check amounts",IF(OR(AND(E84="Income",J84&gt;0),AND(E84="Expense",I84&gt;0),AND(E84="Transfer in",J84&gt;0),AND(E84="Transfer out",I84&gt;0)),"Check type/direction",IF(AND(OR(E84="Transfer in",E84="Transfer out"),M84=""),"Add transfer pair ID",IF(AND(OR(E84="Transfer in",E84="Transfer out"),COUNTIFS($M$7:$M$506,M84,$D$7:$D$506,D84)&lt;&gt;2),"Check transfer pair",IF(AND(E84="Expense",K84=""),"Assign budget fund",IF(AND(E84="Expense",L84=""),"Add receipt / proof",""))))))))))</x:f>
      </x:c>
    </x:row>
    <x:row r="85" ht="24" customHeight="1">
      <x:c r="A85" s="10"/>
      <x:c r="B85" s="5"/>
      <x:c r="C85" s="10"/>
      <x:c r="D85" s="10"/>
      <x:c r="E85" s="10"/>
      <x:c r="F85" s="10"/>
      <x:c r="G85" s="10"/>
      <x:c r="H85" s="10"/>
      <x:c r="I85" s="11"/>
      <x:c r="J85" s="11"/>
      <x:c r="K85" s="10"/>
      <x:c r="L85" s="10"/>
      <x:c r="M85" s="10"/>
      <x:c r="N85" s="10"/>
      <x:c r="O85" s="1" t="str">
        <x:f>IF(COUNTA(A85:N85)=0,"",IF(OR(A85="",B85="",C85="",NOT(ISNUMBER(D85)),NOT(ISNUMBER(E85))),"Complete required fields",IF(COUNTIFS($A$7:$A$506,A85)&gt;1,"Duplicate ID",IF(COUNTIFS('Accounts'!$A$7:$A$26,C85,'Accounts'!$B$7:$B$26,D85)&lt;&gt;1,"Check account/currency",IF(OR(I85&lt;0,J85&lt;0,AND(I85&gt;0,J85&gt;0),AND(I85=0,J85=0)),"Check amounts",IF(OR(AND(E85="Income",J85&gt;0),AND(E85="Expense",I85&gt;0),AND(E85="Transfer in",J85&gt;0),AND(E85="Transfer out",I85&gt;0)),"Check type/direction",IF(AND(OR(E85="Transfer in",E85="Transfer out"),M85=""),"Add transfer pair ID",IF(AND(OR(E85="Transfer in",E85="Transfer out"),COUNTIFS($M$7:$M$506,M85,$D$7:$D$506,D85)&lt;&gt;2),"Check transfer pair",IF(AND(E85="Expense",K85=""),"Assign budget fund",IF(AND(E85="Expense",L85=""),"Add receipt / proof",""))))))))))</x:f>
      </x:c>
    </x:row>
    <x:row r="86" ht="24" customHeight="1">
      <x:c r="A86" s="10"/>
      <x:c r="B86" s="5"/>
      <x:c r="C86" s="10"/>
      <x:c r="D86" s="10"/>
      <x:c r="E86" s="10"/>
      <x:c r="F86" s="10"/>
      <x:c r="G86" s="10"/>
      <x:c r="H86" s="10"/>
      <x:c r="I86" s="11"/>
      <x:c r="J86" s="11"/>
      <x:c r="K86" s="10"/>
      <x:c r="L86" s="10"/>
      <x:c r="M86" s="10"/>
      <x:c r="N86" s="10"/>
      <x:c r="O86" s="1" t="str">
        <x:f>IF(COUNTA(A86:N86)=0,"",IF(OR(A86="",B86="",C86="",NOT(ISNUMBER(D86)),NOT(ISNUMBER(E86))),"Complete required fields",IF(COUNTIFS($A$7:$A$506,A86)&gt;1,"Duplicate ID",IF(COUNTIFS('Accounts'!$A$7:$A$26,C86,'Accounts'!$B$7:$B$26,D86)&lt;&gt;1,"Check account/currency",IF(OR(I86&lt;0,J86&lt;0,AND(I86&gt;0,J86&gt;0),AND(I86=0,J86=0)),"Check amounts",IF(OR(AND(E86="Income",J86&gt;0),AND(E86="Expense",I86&gt;0),AND(E86="Transfer in",J86&gt;0),AND(E86="Transfer out",I86&gt;0)),"Check type/direction",IF(AND(OR(E86="Transfer in",E86="Transfer out"),M86=""),"Add transfer pair ID",IF(AND(OR(E86="Transfer in",E86="Transfer out"),COUNTIFS($M$7:$M$506,M86,$D$7:$D$506,D86)&lt;&gt;2),"Check transfer pair",IF(AND(E86="Expense",K86=""),"Assign budget fund",IF(AND(E86="Expense",L86=""),"Add receipt / proof",""))))))))))</x:f>
      </x:c>
    </x:row>
    <x:row r="87" ht="24" customHeight="1">
      <x:c r="A87" s="10"/>
      <x:c r="B87" s="5"/>
      <x:c r="C87" s="10"/>
      <x:c r="D87" s="10"/>
      <x:c r="E87" s="10"/>
      <x:c r="F87" s="10"/>
      <x:c r="G87" s="10"/>
      <x:c r="H87" s="10"/>
      <x:c r="I87" s="11"/>
      <x:c r="J87" s="11"/>
      <x:c r="K87" s="10"/>
      <x:c r="L87" s="10"/>
      <x:c r="M87" s="10"/>
      <x:c r="N87" s="10"/>
      <x:c r="O87" s="1" t="str">
        <x:f>IF(COUNTA(A87:N87)=0,"",IF(OR(A87="",B87="",C87="",NOT(ISNUMBER(D87)),NOT(ISNUMBER(E87))),"Complete required fields",IF(COUNTIFS($A$7:$A$506,A87)&gt;1,"Duplicate ID",IF(COUNTIFS('Accounts'!$A$7:$A$26,C87,'Accounts'!$B$7:$B$26,D87)&lt;&gt;1,"Check account/currency",IF(OR(I87&lt;0,J87&lt;0,AND(I87&gt;0,J87&gt;0),AND(I87=0,J87=0)),"Check amounts",IF(OR(AND(E87="Income",J87&gt;0),AND(E87="Expense",I87&gt;0),AND(E87="Transfer in",J87&gt;0),AND(E87="Transfer out",I87&gt;0)),"Check type/direction",IF(AND(OR(E87="Transfer in",E87="Transfer out"),M87=""),"Add transfer pair ID",IF(AND(OR(E87="Transfer in",E87="Transfer out"),COUNTIFS($M$7:$M$506,M87,$D$7:$D$506,D87)&lt;&gt;2),"Check transfer pair",IF(AND(E87="Expense",K87=""),"Assign budget fund",IF(AND(E87="Expense",L87=""),"Add receipt / proof",""))))))))))</x:f>
      </x:c>
    </x:row>
    <x:row r="88" ht="24" customHeight="1">
      <x:c r="A88" s="10"/>
      <x:c r="B88" s="5"/>
      <x:c r="C88" s="10"/>
      <x:c r="D88" s="10"/>
      <x:c r="E88" s="10"/>
      <x:c r="F88" s="10"/>
      <x:c r="G88" s="10"/>
      <x:c r="H88" s="10"/>
      <x:c r="I88" s="11"/>
      <x:c r="J88" s="11"/>
      <x:c r="K88" s="10"/>
      <x:c r="L88" s="10"/>
      <x:c r="M88" s="10"/>
      <x:c r="N88" s="10"/>
      <x:c r="O88" s="1" t="str">
        <x:f>IF(COUNTA(A88:N88)=0,"",IF(OR(A88="",B88="",C88="",NOT(ISNUMBER(D88)),NOT(ISNUMBER(E88))),"Complete required fields",IF(COUNTIFS($A$7:$A$506,A88)&gt;1,"Duplicate ID",IF(COUNTIFS('Accounts'!$A$7:$A$26,C88,'Accounts'!$B$7:$B$26,D88)&lt;&gt;1,"Check account/currency",IF(OR(I88&lt;0,J88&lt;0,AND(I88&gt;0,J88&gt;0),AND(I88=0,J88=0)),"Check amounts",IF(OR(AND(E88="Income",J88&gt;0),AND(E88="Expense",I88&gt;0),AND(E88="Transfer in",J88&gt;0),AND(E88="Transfer out",I88&gt;0)),"Check type/direction",IF(AND(OR(E88="Transfer in",E88="Transfer out"),M88=""),"Add transfer pair ID",IF(AND(OR(E88="Transfer in",E88="Transfer out"),COUNTIFS($M$7:$M$506,M88,$D$7:$D$506,D88)&lt;&gt;2),"Check transfer pair",IF(AND(E88="Expense",K88=""),"Assign budget fund",IF(AND(E88="Expense",L88=""),"Add receipt / proof",""))))))))))</x:f>
      </x:c>
    </x:row>
    <x:row r="89" ht="24" customHeight="1">
      <x:c r="A89" s="10"/>
      <x:c r="B89" s="5"/>
      <x:c r="C89" s="10"/>
      <x:c r="D89" s="10"/>
      <x:c r="E89" s="10"/>
      <x:c r="F89" s="10"/>
      <x:c r="G89" s="10"/>
      <x:c r="H89" s="10"/>
      <x:c r="I89" s="11"/>
      <x:c r="J89" s="11"/>
      <x:c r="K89" s="10"/>
      <x:c r="L89" s="10"/>
      <x:c r="M89" s="10"/>
      <x:c r="N89" s="10"/>
      <x:c r="O89" s="1" t="str">
        <x:f>IF(COUNTA(A89:N89)=0,"",IF(OR(A89="",B89="",C89="",NOT(ISNUMBER(D89)),NOT(ISNUMBER(E89))),"Complete required fields",IF(COUNTIFS($A$7:$A$506,A89)&gt;1,"Duplicate ID",IF(COUNTIFS('Accounts'!$A$7:$A$26,C89,'Accounts'!$B$7:$B$26,D89)&lt;&gt;1,"Check account/currency",IF(OR(I89&lt;0,J89&lt;0,AND(I89&gt;0,J89&gt;0),AND(I89=0,J89=0)),"Check amounts",IF(OR(AND(E89="Income",J89&gt;0),AND(E89="Expense",I89&gt;0),AND(E89="Transfer in",J89&gt;0),AND(E89="Transfer out",I89&gt;0)),"Check type/direction",IF(AND(OR(E89="Transfer in",E89="Transfer out"),M89=""),"Add transfer pair ID",IF(AND(OR(E89="Transfer in",E89="Transfer out"),COUNTIFS($M$7:$M$506,M89,$D$7:$D$506,D89)&lt;&gt;2),"Check transfer pair",IF(AND(E89="Expense",K89=""),"Assign budget fund",IF(AND(E89="Expense",L89=""),"Add receipt / proof",""))))))))))</x:f>
      </x:c>
    </x:row>
    <x:row r="90" ht="24" customHeight="1">
      <x:c r="A90" s="10"/>
      <x:c r="B90" s="5"/>
      <x:c r="C90" s="10"/>
      <x:c r="D90" s="10"/>
      <x:c r="E90" s="10"/>
      <x:c r="F90" s="10"/>
      <x:c r="G90" s="10"/>
      <x:c r="H90" s="10"/>
      <x:c r="I90" s="11"/>
      <x:c r="J90" s="11"/>
      <x:c r="K90" s="10"/>
      <x:c r="L90" s="10"/>
      <x:c r="M90" s="10"/>
      <x:c r="N90" s="10"/>
      <x:c r="O90" s="1" t="str">
        <x:f>IF(COUNTA(A90:N90)=0,"",IF(OR(A90="",B90="",C90="",NOT(ISNUMBER(D90)),NOT(ISNUMBER(E90))),"Complete required fields",IF(COUNTIFS($A$7:$A$506,A90)&gt;1,"Duplicate ID",IF(COUNTIFS('Accounts'!$A$7:$A$26,C90,'Accounts'!$B$7:$B$26,D90)&lt;&gt;1,"Check account/currency",IF(OR(I90&lt;0,J90&lt;0,AND(I90&gt;0,J90&gt;0),AND(I90=0,J90=0)),"Check amounts",IF(OR(AND(E90="Income",J90&gt;0),AND(E90="Expense",I90&gt;0),AND(E90="Transfer in",J90&gt;0),AND(E90="Transfer out",I90&gt;0)),"Check type/direction",IF(AND(OR(E90="Transfer in",E90="Transfer out"),M90=""),"Add transfer pair ID",IF(AND(OR(E90="Transfer in",E90="Transfer out"),COUNTIFS($M$7:$M$506,M90,$D$7:$D$506,D90)&lt;&gt;2),"Check transfer pair",IF(AND(E90="Expense",K90=""),"Assign budget fund",IF(AND(E90="Expense",L90=""),"Add receipt / proof",""))))))))))</x:f>
      </x:c>
    </x:row>
    <x:row r="91" ht="24" customHeight="1">
      <x:c r="A91" s="10"/>
      <x:c r="B91" s="5"/>
      <x:c r="C91" s="10"/>
      <x:c r="D91" s="10"/>
      <x:c r="E91" s="10"/>
      <x:c r="F91" s="10"/>
      <x:c r="G91" s="10"/>
      <x:c r="H91" s="10"/>
      <x:c r="I91" s="11"/>
      <x:c r="J91" s="11"/>
      <x:c r="K91" s="10"/>
      <x:c r="L91" s="10"/>
      <x:c r="M91" s="10"/>
      <x:c r="N91" s="10"/>
      <x:c r="O91" s="1" t="str">
        <x:f>IF(COUNTA(A91:N91)=0,"",IF(OR(A91="",B91="",C91="",NOT(ISNUMBER(D91)),NOT(ISNUMBER(E91))),"Complete required fields",IF(COUNTIFS($A$7:$A$506,A91)&gt;1,"Duplicate ID",IF(COUNTIFS('Accounts'!$A$7:$A$26,C91,'Accounts'!$B$7:$B$26,D91)&lt;&gt;1,"Check account/currency",IF(OR(I91&lt;0,J91&lt;0,AND(I91&gt;0,J91&gt;0),AND(I91=0,J91=0)),"Check amounts",IF(OR(AND(E91="Income",J91&gt;0),AND(E91="Expense",I91&gt;0),AND(E91="Transfer in",J91&gt;0),AND(E91="Transfer out",I91&gt;0)),"Check type/direction",IF(AND(OR(E91="Transfer in",E91="Transfer out"),M91=""),"Add transfer pair ID",IF(AND(OR(E91="Transfer in",E91="Transfer out"),COUNTIFS($M$7:$M$506,M91,$D$7:$D$506,D91)&lt;&gt;2),"Check transfer pair",IF(AND(E91="Expense",K91=""),"Assign budget fund",IF(AND(E91="Expense",L91=""),"Add receipt / proof",""))))))))))</x:f>
      </x:c>
    </x:row>
    <x:row r="92" ht="24" customHeight="1">
      <x:c r="A92" s="10"/>
      <x:c r="B92" s="5"/>
      <x:c r="C92" s="10"/>
      <x:c r="D92" s="10"/>
      <x:c r="E92" s="10"/>
      <x:c r="F92" s="10"/>
      <x:c r="G92" s="10"/>
      <x:c r="H92" s="10"/>
      <x:c r="I92" s="11"/>
      <x:c r="J92" s="11"/>
      <x:c r="K92" s="10"/>
      <x:c r="L92" s="10"/>
      <x:c r="M92" s="10"/>
      <x:c r="N92" s="10"/>
      <x:c r="O92" s="1" t="str">
        <x:f>IF(COUNTA(A92:N92)=0,"",IF(OR(A92="",B92="",C92="",NOT(ISNUMBER(D92)),NOT(ISNUMBER(E92))),"Complete required fields",IF(COUNTIFS($A$7:$A$506,A92)&gt;1,"Duplicate ID",IF(COUNTIFS('Accounts'!$A$7:$A$26,C92,'Accounts'!$B$7:$B$26,D92)&lt;&gt;1,"Check account/currency",IF(OR(I92&lt;0,J92&lt;0,AND(I92&gt;0,J92&gt;0),AND(I92=0,J92=0)),"Check amounts",IF(OR(AND(E92="Income",J92&gt;0),AND(E92="Expense",I92&gt;0),AND(E92="Transfer in",J92&gt;0),AND(E92="Transfer out",I92&gt;0)),"Check type/direction",IF(AND(OR(E92="Transfer in",E92="Transfer out"),M92=""),"Add transfer pair ID",IF(AND(OR(E92="Transfer in",E92="Transfer out"),COUNTIFS($M$7:$M$506,M92,$D$7:$D$506,D92)&lt;&gt;2),"Check transfer pair",IF(AND(E92="Expense",K92=""),"Assign budget fund",IF(AND(E92="Expense",L92=""),"Add receipt / proof",""))))))))))</x:f>
      </x:c>
    </x:row>
    <x:row r="93" ht="24" customHeight="1">
      <x:c r="A93" s="10"/>
      <x:c r="B93" s="5"/>
      <x:c r="C93" s="10"/>
      <x:c r="D93" s="10"/>
      <x:c r="E93" s="10"/>
      <x:c r="F93" s="10"/>
      <x:c r="G93" s="10"/>
      <x:c r="H93" s="10"/>
      <x:c r="I93" s="11"/>
      <x:c r="J93" s="11"/>
      <x:c r="K93" s="10"/>
      <x:c r="L93" s="10"/>
      <x:c r="M93" s="10"/>
      <x:c r="N93" s="10"/>
      <x:c r="O93" s="1" t="str">
        <x:f>IF(COUNTA(A93:N93)=0,"",IF(OR(A93="",B93="",C93="",NOT(ISNUMBER(D93)),NOT(ISNUMBER(E93))),"Complete required fields",IF(COUNTIFS($A$7:$A$506,A93)&gt;1,"Duplicate ID",IF(COUNTIFS('Accounts'!$A$7:$A$26,C93,'Accounts'!$B$7:$B$26,D93)&lt;&gt;1,"Check account/currency",IF(OR(I93&lt;0,J93&lt;0,AND(I93&gt;0,J93&gt;0),AND(I93=0,J93=0)),"Check amounts",IF(OR(AND(E93="Income",J93&gt;0),AND(E93="Expense",I93&gt;0),AND(E93="Transfer in",J93&gt;0),AND(E93="Transfer out",I93&gt;0)),"Check type/direction",IF(AND(OR(E93="Transfer in",E93="Transfer out"),M93=""),"Add transfer pair ID",IF(AND(OR(E93="Transfer in",E93="Transfer out"),COUNTIFS($M$7:$M$506,M93,$D$7:$D$506,D93)&lt;&gt;2),"Check transfer pair",IF(AND(E93="Expense",K93=""),"Assign budget fund",IF(AND(E93="Expense",L93=""),"Add receipt / proof",""))))))))))</x:f>
      </x:c>
    </x:row>
    <x:row r="94" ht="24" customHeight="1">
      <x:c r="A94" s="10"/>
      <x:c r="B94" s="5"/>
      <x:c r="C94" s="10"/>
      <x:c r="D94" s="10"/>
      <x:c r="E94" s="10"/>
      <x:c r="F94" s="10"/>
      <x:c r="G94" s="10"/>
      <x:c r="H94" s="10"/>
      <x:c r="I94" s="11"/>
      <x:c r="J94" s="11"/>
      <x:c r="K94" s="10"/>
      <x:c r="L94" s="10"/>
      <x:c r="M94" s="10"/>
      <x:c r="N94" s="10"/>
      <x:c r="O94" s="1" t="str">
        <x:f>IF(COUNTA(A94:N94)=0,"",IF(OR(A94="",B94="",C94="",NOT(ISNUMBER(D94)),NOT(ISNUMBER(E94))),"Complete required fields",IF(COUNTIFS($A$7:$A$506,A94)&gt;1,"Duplicate ID",IF(COUNTIFS('Accounts'!$A$7:$A$26,C94,'Accounts'!$B$7:$B$26,D94)&lt;&gt;1,"Check account/currency",IF(OR(I94&lt;0,J94&lt;0,AND(I94&gt;0,J94&gt;0),AND(I94=0,J94=0)),"Check amounts",IF(OR(AND(E94="Income",J94&gt;0),AND(E94="Expense",I94&gt;0),AND(E94="Transfer in",J94&gt;0),AND(E94="Transfer out",I94&gt;0)),"Check type/direction",IF(AND(OR(E94="Transfer in",E94="Transfer out"),M94=""),"Add transfer pair ID",IF(AND(OR(E94="Transfer in",E94="Transfer out"),COUNTIFS($M$7:$M$506,M94,$D$7:$D$506,D94)&lt;&gt;2),"Check transfer pair",IF(AND(E94="Expense",K94=""),"Assign budget fund",IF(AND(E94="Expense",L94=""),"Add receipt / proof",""))))))))))</x:f>
      </x:c>
    </x:row>
    <x:row r="95" ht="24" customHeight="1">
      <x:c r="A95" s="10"/>
      <x:c r="B95" s="5"/>
      <x:c r="C95" s="10"/>
      <x:c r="D95" s="10"/>
      <x:c r="E95" s="10"/>
      <x:c r="F95" s="10"/>
      <x:c r="G95" s="10"/>
      <x:c r="H95" s="10"/>
      <x:c r="I95" s="11"/>
      <x:c r="J95" s="11"/>
      <x:c r="K95" s="10"/>
      <x:c r="L95" s="10"/>
      <x:c r="M95" s="10"/>
      <x:c r="N95" s="10"/>
      <x:c r="O95" s="1" t="str">
        <x:f>IF(COUNTA(A95:N95)=0,"",IF(OR(A95="",B95="",C95="",NOT(ISNUMBER(D95)),NOT(ISNUMBER(E95))),"Complete required fields",IF(COUNTIFS($A$7:$A$506,A95)&gt;1,"Duplicate ID",IF(COUNTIFS('Accounts'!$A$7:$A$26,C95,'Accounts'!$B$7:$B$26,D95)&lt;&gt;1,"Check account/currency",IF(OR(I95&lt;0,J95&lt;0,AND(I95&gt;0,J95&gt;0),AND(I95=0,J95=0)),"Check amounts",IF(OR(AND(E95="Income",J95&gt;0),AND(E95="Expense",I95&gt;0),AND(E95="Transfer in",J95&gt;0),AND(E95="Transfer out",I95&gt;0)),"Check type/direction",IF(AND(OR(E95="Transfer in",E95="Transfer out"),M95=""),"Add transfer pair ID",IF(AND(OR(E95="Transfer in",E95="Transfer out"),COUNTIFS($M$7:$M$506,M95,$D$7:$D$506,D95)&lt;&gt;2),"Check transfer pair",IF(AND(E95="Expense",K95=""),"Assign budget fund",IF(AND(E95="Expense",L95=""),"Add receipt / proof",""))))))))))</x:f>
      </x:c>
    </x:row>
    <x:row r="96" ht="24" customHeight="1">
      <x:c r="A96" s="10"/>
      <x:c r="B96" s="5"/>
      <x:c r="C96" s="10"/>
      <x:c r="D96" s="10"/>
      <x:c r="E96" s="10"/>
      <x:c r="F96" s="10"/>
      <x:c r="G96" s="10"/>
      <x:c r="H96" s="10"/>
      <x:c r="I96" s="11"/>
      <x:c r="J96" s="11"/>
      <x:c r="K96" s="10"/>
      <x:c r="L96" s="10"/>
      <x:c r="M96" s="10"/>
      <x:c r="N96" s="10"/>
      <x:c r="O96" s="1" t="str">
        <x:f>IF(COUNTA(A96:N96)=0,"",IF(OR(A96="",B96="",C96="",NOT(ISNUMBER(D96)),NOT(ISNUMBER(E96))),"Complete required fields",IF(COUNTIFS($A$7:$A$506,A96)&gt;1,"Duplicate ID",IF(COUNTIFS('Accounts'!$A$7:$A$26,C96,'Accounts'!$B$7:$B$26,D96)&lt;&gt;1,"Check account/currency",IF(OR(I96&lt;0,J96&lt;0,AND(I96&gt;0,J96&gt;0),AND(I96=0,J96=0)),"Check amounts",IF(OR(AND(E96="Income",J96&gt;0),AND(E96="Expense",I96&gt;0),AND(E96="Transfer in",J96&gt;0),AND(E96="Transfer out",I96&gt;0)),"Check type/direction",IF(AND(OR(E96="Transfer in",E96="Transfer out"),M96=""),"Add transfer pair ID",IF(AND(OR(E96="Transfer in",E96="Transfer out"),COUNTIFS($M$7:$M$506,M96,$D$7:$D$506,D96)&lt;&gt;2),"Check transfer pair",IF(AND(E96="Expense",K96=""),"Assign budget fund",IF(AND(E96="Expense",L96=""),"Add receipt / proof",""))))))))))</x:f>
      </x:c>
    </x:row>
    <x:row r="97" ht="24" customHeight="1">
      <x:c r="A97" s="10"/>
      <x:c r="B97" s="5"/>
      <x:c r="C97" s="10"/>
      <x:c r="D97" s="10"/>
      <x:c r="E97" s="10"/>
      <x:c r="F97" s="10"/>
      <x:c r="G97" s="10"/>
      <x:c r="H97" s="10"/>
      <x:c r="I97" s="11"/>
      <x:c r="J97" s="11"/>
      <x:c r="K97" s="10"/>
      <x:c r="L97" s="10"/>
      <x:c r="M97" s="10"/>
      <x:c r="N97" s="10"/>
      <x:c r="O97" s="1" t="str">
        <x:f>IF(COUNTA(A97:N97)=0,"",IF(OR(A97="",B97="",C97="",NOT(ISNUMBER(D97)),NOT(ISNUMBER(E97))),"Complete required fields",IF(COUNTIFS($A$7:$A$506,A97)&gt;1,"Duplicate ID",IF(COUNTIFS('Accounts'!$A$7:$A$26,C97,'Accounts'!$B$7:$B$26,D97)&lt;&gt;1,"Check account/currency",IF(OR(I97&lt;0,J97&lt;0,AND(I97&gt;0,J97&gt;0),AND(I97=0,J97=0)),"Check amounts",IF(OR(AND(E97="Income",J97&gt;0),AND(E97="Expense",I97&gt;0),AND(E97="Transfer in",J97&gt;0),AND(E97="Transfer out",I97&gt;0)),"Check type/direction",IF(AND(OR(E97="Transfer in",E97="Transfer out"),M97=""),"Add transfer pair ID",IF(AND(OR(E97="Transfer in",E97="Transfer out"),COUNTIFS($M$7:$M$506,M97,$D$7:$D$506,D97)&lt;&gt;2),"Check transfer pair",IF(AND(E97="Expense",K97=""),"Assign budget fund",IF(AND(E97="Expense",L97=""),"Add receipt / proof",""))))))))))</x:f>
      </x:c>
    </x:row>
    <x:row r="98" ht="24" customHeight="1">
      <x:c r="A98" s="10"/>
      <x:c r="B98" s="5"/>
      <x:c r="C98" s="10"/>
      <x:c r="D98" s="10"/>
      <x:c r="E98" s="10"/>
      <x:c r="F98" s="10"/>
      <x:c r="G98" s="10"/>
      <x:c r="H98" s="10"/>
      <x:c r="I98" s="11"/>
      <x:c r="J98" s="11"/>
      <x:c r="K98" s="10"/>
      <x:c r="L98" s="10"/>
      <x:c r="M98" s="10"/>
      <x:c r="N98" s="10"/>
      <x:c r="O98" s="1" t="str">
        <x:f>IF(COUNTA(A98:N98)=0,"",IF(OR(A98="",B98="",C98="",NOT(ISNUMBER(D98)),NOT(ISNUMBER(E98))),"Complete required fields",IF(COUNTIFS($A$7:$A$506,A98)&gt;1,"Duplicate ID",IF(COUNTIFS('Accounts'!$A$7:$A$26,C98,'Accounts'!$B$7:$B$26,D98)&lt;&gt;1,"Check account/currency",IF(OR(I98&lt;0,J98&lt;0,AND(I98&gt;0,J98&gt;0),AND(I98=0,J98=0)),"Check amounts",IF(OR(AND(E98="Income",J98&gt;0),AND(E98="Expense",I98&gt;0),AND(E98="Transfer in",J98&gt;0),AND(E98="Transfer out",I98&gt;0)),"Check type/direction",IF(AND(OR(E98="Transfer in",E98="Transfer out"),M98=""),"Add transfer pair ID",IF(AND(OR(E98="Transfer in",E98="Transfer out"),COUNTIFS($M$7:$M$506,M98,$D$7:$D$506,D98)&lt;&gt;2),"Check transfer pair",IF(AND(E98="Expense",K98=""),"Assign budget fund",IF(AND(E98="Expense",L98=""),"Add receipt / proof",""))))))))))</x:f>
      </x:c>
    </x:row>
    <x:row r="99" ht="24" customHeight="1">
      <x:c r="A99" s="10"/>
      <x:c r="B99" s="5"/>
      <x:c r="C99" s="10"/>
      <x:c r="D99" s="10"/>
      <x:c r="E99" s="10"/>
      <x:c r="F99" s="10"/>
      <x:c r="G99" s="10"/>
      <x:c r="H99" s="10"/>
      <x:c r="I99" s="11"/>
      <x:c r="J99" s="11"/>
      <x:c r="K99" s="10"/>
      <x:c r="L99" s="10"/>
      <x:c r="M99" s="10"/>
      <x:c r="N99" s="10"/>
      <x:c r="O99" s="1" t="str">
        <x:f>IF(COUNTA(A99:N99)=0,"",IF(OR(A99="",B99="",C99="",NOT(ISNUMBER(D99)),NOT(ISNUMBER(E99))),"Complete required fields",IF(COUNTIFS($A$7:$A$506,A99)&gt;1,"Duplicate ID",IF(COUNTIFS('Accounts'!$A$7:$A$26,C99,'Accounts'!$B$7:$B$26,D99)&lt;&gt;1,"Check account/currency",IF(OR(I99&lt;0,J99&lt;0,AND(I99&gt;0,J99&gt;0),AND(I99=0,J99=0)),"Check amounts",IF(OR(AND(E99="Income",J99&gt;0),AND(E99="Expense",I99&gt;0),AND(E99="Transfer in",J99&gt;0),AND(E99="Transfer out",I99&gt;0)),"Check type/direction",IF(AND(OR(E99="Transfer in",E99="Transfer out"),M99=""),"Add transfer pair ID",IF(AND(OR(E99="Transfer in",E99="Transfer out"),COUNTIFS($M$7:$M$506,M99,$D$7:$D$506,D99)&lt;&gt;2),"Check transfer pair",IF(AND(E99="Expense",K99=""),"Assign budget fund",IF(AND(E99="Expense",L99=""),"Add receipt / proof",""))))))))))</x:f>
      </x:c>
    </x:row>
    <x:row r="100" ht="24" customHeight="1">
      <x:c r="A100" s="10"/>
      <x:c r="B100" s="5"/>
      <x:c r="C100" s="10"/>
      <x:c r="D100" s="10"/>
      <x:c r="E100" s="10"/>
      <x:c r="F100" s="10"/>
      <x:c r="G100" s="10"/>
      <x:c r="H100" s="10"/>
      <x:c r="I100" s="11"/>
      <x:c r="J100" s="11"/>
      <x:c r="K100" s="10"/>
      <x:c r="L100" s="10"/>
      <x:c r="M100" s="10"/>
      <x:c r="N100" s="10"/>
      <x:c r="O100" s="1" t="str">
        <x:f>IF(COUNTA(A100:N100)=0,"",IF(OR(A100="",B100="",C100="",NOT(ISNUMBER(D100)),NOT(ISNUMBER(E100))),"Complete required fields",IF(COUNTIFS($A$7:$A$506,A100)&gt;1,"Duplicate ID",IF(COUNTIFS('Accounts'!$A$7:$A$26,C100,'Accounts'!$B$7:$B$26,D100)&lt;&gt;1,"Check account/currency",IF(OR(I100&lt;0,J100&lt;0,AND(I100&gt;0,J100&gt;0),AND(I100=0,J100=0)),"Check amounts",IF(OR(AND(E100="Income",J100&gt;0),AND(E100="Expense",I100&gt;0),AND(E100="Transfer in",J100&gt;0),AND(E100="Transfer out",I100&gt;0)),"Check type/direction",IF(AND(OR(E100="Transfer in",E100="Transfer out"),M100=""),"Add transfer pair ID",IF(AND(OR(E100="Transfer in",E100="Transfer out"),COUNTIFS($M$7:$M$506,M100,$D$7:$D$506,D100)&lt;&gt;2),"Check transfer pair",IF(AND(E100="Expense",K100=""),"Assign budget fund",IF(AND(E100="Expense",L100=""),"Add receipt / proof",""))))))))))</x:f>
      </x:c>
    </x:row>
    <x:row r="101" ht="24" customHeight="1">
      <x:c r="A101" s="10"/>
      <x:c r="B101" s="5"/>
      <x:c r="C101" s="10"/>
      <x:c r="D101" s="10"/>
      <x:c r="E101" s="10"/>
      <x:c r="F101" s="10"/>
      <x:c r="G101" s="10"/>
      <x:c r="H101" s="10"/>
      <x:c r="I101" s="11"/>
      <x:c r="J101" s="11"/>
      <x:c r="K101" s="10"/>
      <x:c r="L101" s="10"/>
      <x:c r="M101" s="10"/>
      <x:c r="N101" s="10"/>
      <x:c r="O101" s="1" t="str">
        <x:f>IF(COUNTA(A101:N101)=0,"",IF(OR(A101="",B101="",C101="",NOT(ISNUMBER(D101)),NOT(ISNUMBER(E101))),"Complete required fields",IF(COUNTIFS($A$7:$A$506,A101)&gt;1,"Duplicate ID",IF(COUNTIFS('Accounts'!$A$7:$A$26,C101,'Accounts'!$B$7:$B$26,D101)&lt;&gt;1,"Check account/currency",IF(OR(I101&lt;0,J101&lt;0,AND(I101&gt;0,J101&gt;0),AND(I101=0,J101=0)),"Check amounts",IF(OR(AND(E101="Income",J101&gt;0),AND(E101="Expense",I101&gt;0),AND(E101="Transfer in",J101&gt;0),AND(E101="Transfer out",I101&gt;0)),"Check type/direction",IF(AND(OR(E101="Transfer in",E101="Transfer out"),M101=""),"Add transfer pair ID",IF(AND(OR(E101="Transfer in",E101="Transfer out"),COUNTIFS($M$7:$M$506,M101,$D$7:$D$506,D101)&lt;&gt;2),"Check transfer pair",IF(AND(E101="Expense",K101=""),"Assign budget fund",IF(AND(E101="Expense",L101=""),"Add receipt / proof",""))))))))))</x:f>
      </x:c>
    </x:row>
    <x:row r="102" ht="24" customHeight="1">
      <x:c r="A102" s="10"/>
      <x:c r="B102" s="5"/>
      <x:c r="C102" s="10"/>
      <x:c r="D102" s="10"/>
      <x:c r="E102" s="10"/>
      <x:c r="F102" s="10"/>
      <x:c r="G102" s="10"/>
      <x:c r="H102" s="10"/>
      <x:c r="I102" s="11"/>
      <x:c r="J102" s="11"/>
      <x:c r="K102" s="10"/>
      <x:c r="L102" s="10"/>
      <x:c r="M102" s="10"/>
      <x:c r="N102" s="10"/>
      <x:c r="O102" s="1" t="str">
        <x:f>IF(COUNTA(A102:N102)=0,"",IF(OR(A102="",B102="",C102="",NOT(ISNUMBER(D102)),NOT(ISNUMBER(E102))),"Complete required fields",IF(COUNTIFS($A$7:$A$506,A102)&gt;1,"Duplicate ID",IF(COUNTIFS('Accounts'!$A$7:$A$26,C102,'Accounts'!$B$7:$B$26,D102)&lt;&gt;1,"Check account/currency",IF(OR(I102&lt;0,J102&lt;0,AND(I102&gt;0,J102&gt;0),AND(I102=0,J102=0)),"Check amounts",IF(OR(AND(E102="Income",J102&gt;0),AND(E102="Expense",I102&gt;0),AND(E102="Transfer in",J102&gt;0),AND(E102="Transfer out",I102&gt;0)),"Check type/direction",IF(AND(OR(E102="Transfer in",E102="Transfer out"),M102=""),"Add transfer pair ID",IF(AND(OR(E102="Transfer in",E102="Transfer out"),COUNTIFS($M$7:$M$506,M102,$D$7:$D$506,D102)&lt;&gt;2),"Check transfer pair",IF(AND(E102="Expense",K102=""),"Assign budget fund",IF(AND(E102="Expense",L102=""),"Add receipt / proof",""))))))))))</x:f>
      </x:c>
    </x:row>
    <x:row r="103" ht="24" customHeight="1">
      <x:c r="A103" s="10"/>
      <x:c r="B103" s="5"/>
      <x:c r="C103" s="10"/>
      <x:c r="D103" s="10"/>
      <x:c r="E103" s="10"/>
      <x:c r="F103" s="10"/>
      <x:c r="G103" s="10"/>
      <x:c r="H103" s="10"/>
      <x:c r="I103" s="11"/>
      <x:c r="J103" s="11"/>
      <x:c r="K103" s="10"/>
      <x:c r="L103" s="10"/>
      <x:c r="M103" s="10"/>
      <x:c r="N103" s="10"/>
      <x:c r="O103" s="1" t="str">
        <x:f>IF(COUNTA(A103:N103)=0,"",IF(OR(A103="",B103="",C103="",NOT(ISNUMBER(D103)),NOT(ISNUMBER(E103))),"Complete required fields",IF(COUNTIFS($A$7:$A$506,A103)&gt;1,"Duplicate ID",IF(COUNTIFS('Accounts'!$A$7:$A$26,C103,'Accounts'!$B$7:$B$26,D103)&lt;&gt;1,"Check account/currency",IF(OR(I103&lt;0,J103&lt;0,AND(I103&gt;0,J103&gt;0),AND(I103=0,J103=0)),"Check amounts",IF(OR(AND(E103="Income",J103&gt;0),AND(E103="Expense",I103&gt;0),AND(E103="Transfer in",J103&gt;0),AND(E103="Transfer out",I103&gt;0)),"Check type/direction",IF(AND(OR(E103="Transfer in",E103="Transfer out"),M103=""),"Add transfer pair ID",IF(AND(OR(E103="Transfer in",E103="Transfer out"),COUNTIFS($M$7:$M$506,M103,$D$7:$D$506,D103)&lt;&gt;2),"Check transfer pair",IF(AND(E103="Expense",K103=""),"Assign budget fund",IF(AND(E103="Expense",L103=""),"Add receipt / proof",""))))))))))</x:f>
      </x:c>
    </x:row>
    <x:row r="104" ht="24" customHeight="1">
      <x:c r="A104" s="10"/>
      <x:c r="B104" s="5"/>
      <x:c r="C104" s="10"/>
      <x:c r="D104" s="10"/>
      <x:c r="E104" s="10"/>
      <x:c r="F104" s="10"/>
      <x:c r="G104" s="10"/>
      <x:c r="H104" s="10"/>
      <x:c r="I104" s="11"/>
      <x:c r="J104" s="11"/>
      <x:c r="K104" s="10"/>
      <x:c r="L104" s="10"/>
      <x:c r="M104" s="10"/>
      <x:c r="N104" s="10"/>
      <x:c r="O104" s="1" t="str">
        <x:f>IF(COUNTA(A104:N104)=0,"",IF(OR(A104="",B104="",C104="",NOT(ISNUMBER(D104)),NOT(ISNUMBER(E104))),"Complete required fields",IF(COUNTIFS($A$7:$A$506,A104)&gt;1,"Duplicate ID",IF(COUNTIFS('Accounts'!$A$7:$A$26,C104,'Accounts'!$B$7:$B$26,D104)&lt;&gt;1,"Check account/currency",IF(OR(I104&lt;0,J104&lt;0,AND(I104&gt;0,J104&gt;0),AND(I104=0,J104=0)),"Check amounts",IF(OR(AND(E104="Income",J104&gt;0),AND(E104="Expense",I104&gt;0),AND(E104="Transfer in",J104&gt;0),AND(E104="Transfer out",I104&gt;0)),"Check type/direction",IF(AND(OR(E104="Transfer in",E104="Transfer out"),M104=""),"Add transfer pair ID",IF(AND(OR(E104="Transfer in",E104="Transfer out"),COUNTIFS($M$7:$M$506,M104,$D$7:$D$506,D104)&lt;&gt;2),"Check transfer pair",IF(AND(E104="Expense",K104=""),"Assign budget fund",IF(AND(E104="Expense",L104=""),"Add receipt / proof",""))))))))))</x:f>
      </x:c>
    </x:row>
    <x:row r="105" ht="24" customHeight="1">
      <x:c r="A105" s="10"/>
      <x:c r="B105" s="5"/>
      <x:c r="C105" s="10"/>
      <x:c r="D105" s="10"/>
      <x:c r="E105" s="10"/>
      <x:c r="F105" s="10"/>
      <x:c r="G105" s="10"/>
      <x:c r="H105" s="10"/>
      <x:c r="I105" s="11"/>
      <x:c r="J105" s="11"/>
      <x:c r="K105" s="10"/>
      <x:c r="L105" s="10"/>
      <x:c r="M105" s="10"/>
      <x:c r="N105" s="10"/>
      <x:c r="O105" s="1" t="str">
        <x:f>IF(COUNTA(A105:N105)=0,"",IF(OR(A105="",B105="",C105="",NOT(ISNUMBER(D105)),NOT(ISNUMBER(E105))),"Complete required fields",IF(COUNTIFS($A$7:$A$506,A105)&gt;1,"Duplicate ID",IF(COUNTIFS('Accounts'!$A$7:$A$26,C105,'Accounts'!$B$7:$B$26,D105)&lt;&gt;1,"Check account/currency",IF(OR(I105&lt;0,J105&lt;0,AND(I105&gt;0,J105&gt;0),AND(I105=0,J105=0)),"Check amounts",IF(OR(AND(E105="Income",J105&gt;0),AND(E105="Expense",I105&gt;0),AND(E105="Transfer in",J105&gt;0),AND(E105="Transfer out",I105&gt;0)),"Check type/direction",IF(AND(OR(E105="Transfer in",E105="Transfer out"),M105=""),"Add transfer pair ID",IF(AND(OR(E105="Transfer in",E105="Transfer out"),COUNTIFS($M$7:$M$506,M105,$D$7:$D$506,D105)&lt;&gt;2),"Check transfer pair",IF(AND(E105="Expense",K105=""),"Assign budget fund",IF(AND(E105="Expense",L105=""),"Add receipt / proof",""))))))))))</x:f>
      </x:c>
    </x:row>
    <x:row r="106" ht="24" customHeight="1">
      <x:c r="A106" s="10"/>
      <x:c r="B106" s="5"/>
      <x:c r="C106" s="10"/>
      <x:c r="D106" s="10"/>
      <x:c r="E106" s="10"/>
      <x:c r="F106" s="10"/>
      <x:c r="G106" s="10"/>
      <x:c r="H106" s="10"/>
      <x:c r="I106" s="11"/>
      <x:c r="J106" s="11"/>
      <x:c r="K106" s="10"/>
      <x:c r="L106" s="10"/>
      <x:c r="M106" s="10"/>
      <x:c r="N106" s="10"/>
      <x:c r="O106" s="1" t="str">
        <x:f>IF(COUNTA(A106:N106)=0,"",IF(OR(A106="",B106="",C106="",NOT(ISNUMBER(D106)),NOT(ISNUMBER(E106))),"Complete required fields",IF(COUNTIFS($A$7:$A$506,A106)&gt;1,"Duplicate ID",IF(COUNTIFS('Accounts'!$A$7:$A$26,C106,'Accounts'!$B$7:$B$26,D106)&lt;&gt;1,"Check account/currency",IF(OR(I106&lt;0,J106&lt;0,AND(I106&gt;0,J106&gt;0),AND(I106=0,J106=0)),"Check amounts",IF(OR(AND(E106="Income",J106&gt;0),AND(E106="Expense",I106&gt;0),AND(E106="Transfer in",J106&gt;0),AND(E106="Transfer out",I106&gt;0)),"Check type/direction",IF(AND(OR(E106="Transfer in",E106="Transfer out"),M106=""),"Add transfer pair ID",IF(AND(OR(E106="Transfer in",E106="Transfer out"),COUNTIFS($M$7:$M$506,M106,$D$7:$D$506,D106)&lt;&gt;2),"Check transfer pair",IF(AND(E106="Expense",K106=""),"Assign budget fund",IF(AND(E106="Expense",L106=""),"Add receipt / proof",""))))))))))</x:f>
      </x:c>
    </x:row>
    <x:row r="107" ht="24" customHeight="1">
      <x:c r="A107" s="10"/>
      <x:c r="B107" s="5"/>
      <x:c r="C107" s="10"/>
      <x:c r="D107" s="10"/>
      <x:c r="E107" s="10"/>
      <x:c r="F107" s="10"/>
      <x:c r="G107" s="10"/>
      <x:c r="H107" s="10"/>
      <x:c r="I107" s="11"/>
      <x:c r="J107" s="11"/>
      <x:c r="K107" s="10"/>
      <x:c r="L107" s="10"/>
      <x:c r="M107" s="10"/>
      <x:c r="N107" s="10"/>
      <x:c r="O107" s="1" t="str">
        <x:f>IF(COUNTA(A107:N107)=0,"",IF(OR(A107="",B107="",C107="",NOT(ISNUMBER(D107)),NOT(ISNUMBER(E107))),"Complete required fields",IF(COUNTIFS($A$7:$A$506,A107)&gt;1,"Duplicate ID",IF(COUNTIFS('Accounts'!$A$7:$A$26,C107,'Accounts'!$B$7:$B$26,D107)&lt;&gt;1,"Check account/currency",IF(OR(I107&lt;0,J107&lt;0,AND(I107&gt;0,J107&gt;0),AND(I107=0,J107=0)),"Check amounts",IF(OR(AND(E107="Income",J107&gt;0),AND(E107="Expense",I107&gt;0),AND(E107="Transfer in",J107&gt;0),AND(E107="Transfer out",I107&gt;0)),"Check type/direction",IF(AND(OR(E107="Transfer in",E107="Transfer out"),M107=""),"Add transfer pair ID",IF(AND(OR(E107="Transfer in",E107="Transfer out"),COUNTIFS($M$7:$M$506,M107,$D$7:$D$506,D107)&lt;&gt;2),"Check transfer pair",IF(AND(E107="Expense",K107=""),"Assign budget fund",IF(AND(E107="Expense",L107=""),"Add receipt / proof",""))))))))))</x:f>
      </x:c>
    </x:row>
    <x:row r="108" ht="24" customHeight="1">
      <x:c r="A108" s="10"/>
      <x:c r="B108" s="5"/>
      <x:c r="C108" s="10"/>
      <x:c r="D108" s="10"/>
      <x:c r="E108" s="10"/>
      <x:c r="F108" s="10"/>
      <x:c r="G108" s="10"/>
      <x:c r="H108" s="10"/>
      <x:c r="I108" s="11"/>
      <x:c r="J108" s="11"/>
      <x:c r="K108" s="10"/>
      <x:c r="L108" s="10"/>
      <x:c r="M108" s="10"/>
      <x:c r="N108" s="10"/>
      <x:c r="O108" s="1" t="str">
        <x:f>IF(COUNTA(A108:N108)=0,"",IF(OR(A108="",B108="",C108="",NOT(ISNUMBER(D108)),NOT(ISNUMBER(E108))),"Complete required fields",IF(COUNTIFS($A$7:$A$506,A108)&gt;1,"Duplicate ID",IF(COUNTIFS('Accounts'!$A$7:$A$26,C108,'Accounts'!$B$7:$B$26,D108)&lt;&gt;1,"Check account/currency",IF(OR(I108&lt;0,J108&lt;0,AND(I108&gt;0,J108&gt;0),AND(I108=0,J108=0)),"Check amounts",IF(OR(AND(E108="Income",J108&gt;0),AND(E108="Expense",I108&gt;0),AND(E108="Transfer in",J108&gt;0),AND(E108="Transfer out",I108&gt;0)),"Check type/direction",IF(AND(OR(E108="Transfer in",E108="Transfer out"),M108=""),"Add transfer pair ID",IF(AND(OR(E108="Transfer in",E108="Transfer out"),COUNTIFS($M$7:$M$506,M108,$D$7:$D$506,D108)&lt;&gt;2),"Check transfer pair",IF(AND(E108="Expense",K108=""),"Assign budget fund",IF(AND(E108="Expense",L108=""),"Add receipt / proof",""))))))))))</x:f>
      </x:c>
    </x:row>
    <x:row r="109" ht="24" customHeight="1">
      <x:c r="A109" s="10"/>
      <x:c r="B109" s="5"/>
      <x:c r="C109" s="10"/>
      <x:c r="D109" s="10"/>
      <x:c r="E109" s="10"/>
      <x:c r="F109" s="10"/>
      <x:c r="G109" s="10"/>
      <x:c r="H109" s="10"/>
      <x:c r="I109" s="11"/>
      <x:c r="J109" s="11"/>
      <x:c r="K109" s="10"/>
      <x:c r="L109" s="10"/>
      <x:c r="M109" s="10"/>
      <x:c r="N109" s="10"/>
      <x:c r="O109" s="1" t="str">
        <x:f>IF(COUNTA(A109:N109)=0,"",IF(OR(A109="",B109="",C109="",NOT(ISNUMBER(D109)),NOT(ISNUMBER(E109))),"Complete required fields",IF(COUNTIFS($A$7:$A$506,A109)&gt;1,"Duplicate ID",IF(COUNTIFS('Accounts'!$A$7:$A$26,C109,'Accounts'!$B$7:$B$26,D109)&lt;&gt;1,"Check account/currency",IF(OR(I109&lt;0,J109&lt;0,AND(I109&gt;0,J109&gt;0),AND(I109=0,J109=0)),"Check amounts",IF(OR(AND(E109="Income",J109&gt;0),AND(E109="Expense",I109&gt;0),AND(E109="Transfer in",J109&gt;0),AND(E109="Transfer out",I109&gt;0)),"Check type/direction",IF(AND(OR(E109="Transfer in",E109="Transfer out"),M109=""),"Add transfer pair ID",IF(AND(OR(E109="Transfer in",E109="Transfer out"),COUNTIFS($M$7:$M$506,M109,$D$7:$D$506,D109)&lt;&gt;2),"Check transfer pair",IF(AND(E109="Expense",K109=""),"Assign budget fund",IF(AND(E109="Expense",L109=""),"Add receipt / proof",""))))))))))</x:f>
      </x:c>
    </x:row>
    <x:row r="110" ht="24" customHeight="1">
      <x:c r="A110" s="10"/>
      <x:c r="B110" s="5"/>
      <x:c r="C110" s="10"/>
      <x:c r="D110" s="10"/>
      <x:c r="E110" s="10"/>
      <x:c r="F110" s="10"/>
      <x:c r="G110" s="10"/>
      <x:c r="H110" s="10"/>
      <x:c r="I110" s="11"/>
      <x:c r="J110" s="11"/>
      <x:c r="K110" s="10"/>
      <x:c r="L110" s="10"/>
      <x:c r="M110" s="10"/>
      <x:c r="N110" s="10"/>
      <x:c r="O110" s="1" t="str">
        <x:f>IF(COUNTA(A110:N110)=0,"",IF(OR(A110="",B110="",C110="",NOT(ISNUMBER(D110)),NOT(ISNUMBER(E110))),"Complete required fields",IF(COUNTIFS($A$7:$A$506,A110)&gt;1,"Duplicate ID",IF(COUNTIFS('Accounts'!$A$7:$A$26,C110,'Accounts'!$B$7:$B$26,D110)&lt;&gt;1,"Check account/currency",IF(OR(I110&lt;0,J110&lt;0,AND(I110&gt;0,J110&gt;0),AND(I110=0,J110=0)),"Check amounts",IF(OR(AND(E110="Income",J110&gt;0),AND(E110="Expense",I110&gt;0),AND(E110="Transfer in",J110&gt;0),AND(E110="Transfer out",I110&gt;0)),"Check type/direction",IF(AND(OR(E110="Transfer in",E110="Transfer out"),M110=""),"Add transfer pair ID",IF(AND(OR(E110="Transfer in",E110="Transfer out"),COUNTIFS($M$7:$M$506,M110,$D$7:$D$506,D110)&lt;&gt;2),"Check transfer pair",IF(AND(E110="Expense",K110=""),"Assign budget fund",IF(AND(E110="Expense",L110=""),"Add receipt / proof",""))))))))))</x:f>
      </x:c>
    </x:row>
    <x:row r="111" ht="24" customHeight="1">
      <x:c r="A111" s="10"/>
      <x:c r="B111" s="5"/>
      <x:c r="C111" s="10"/>
      <x:c r="D111" s="10"/>
      <x:c r="E111" s="10"/>
      <x:c r="F111" s="10"/>
      <x:c r="G111" s="10"/>
      <x:c r="H111" s="10"/>
      <x:c r="I111" s="11"/>
      <x:c r="J111" s="11"/>
      <x:c r="K111" s="10"/>
      <x:c r="L111" s="10"/>
      <x:c r="M111" s="10"/>
      <x:c r="N111" s="10"/>
      <x:c r="O111" s="1" t="str">
        <x:f>IF(COUNTA(A111:N111)=0,"",IF(OR(A111="",B111="",C111="",NOT(ISNUMBER(D111)),NOT(ISNUMBER(E111))),"Complete required fields",IF(COUNTIFS($A$7:$A$506,A111)&gt;1,"Duplicate ID",IF(COUNTIFS('Accounts'!$A$7:$A$26,C111,'Accounts'!$B$7:$B$26,D111)&lt;&gt;1,"Check account/currency",IF(OR(I111&lt;0,J111&lt;0,AND(I111&gt;0,J111&gt;0),AND(I111=0,J111=0)),"Check amounts",IF(OR(AND(E111="Income",J111&gt;0),AND(E111="Expense",I111&gt;0),AND(E111="Transfer in",J111&gt;0),AND(E111="Transfer out",I111&gt;0)),"Check type/direction",IF(AND(OR(E111="Transfer in",E111="Transfer out"),M111=""),"Add transfer pair ID",IF(AND(OR(E111="Transfer in",E111="Transfer out"),COUNTIFS($M$7:$M$506,M111,$D$7:$D$506,D111)&lt;&gt;2),"Check transfer pair",IF(AND(E111="Expense",K111=""),"Assign budget fund",IF(AND(E111="Expense",L111=""),"Add receipt / proof",""))))))))))</x:f>
      </x:c>
    </x:row>
    <x:row r="112" ht="24" customHeight="1">
      <x:c r="A112" s="10"/>
      <x:c r="B112" s="5"/>
      <x:c r="C112" s="10"/>
      <x:c r="D112" s="10"/>
      <x:c r="E112" s="10"/>
      <x:c r="F112" s="10"/>
      <x:c r="G112" s="10"/>
      <x:c r="H112" s="10"/>
      <x:c r="I112" s="11"/>
      <x:c r="J112" s="11"/>
      <x:c r="K112" s="10"/>
      <x:c r="L112" s="10"/>
      <x:c r="M112" s="10"/>
      <x:c r="N112" s="10"/>
      <x:c r="O112" s="1" t="str">
        <x:f>IF(COUNTA(A112:N112)=0,"",IF(OR(A112="",B112="",C112="",NOT(ISNUMBER(D112)),NOT(ISNUMBER(E112))),"Complete required fields",IF(COUNTIFS($A$7:$A$506,A112)&gt;1,"Duplicate ID",IF(COUNTIFS('Accounts'!$A$7:$A$26,C112,'Accounts'!$B$7:$B$26,D112)&lt;&gt;1,"Check account/currency",IF(OR(I112&lt;0,J112&lt;0,AND(I112&gt;0,J112&gt;0),AND(I112=0,J112=0)),"Check amounts",IF(OR(AND(E112="Income",J112&gt;0),AND(E112="Expense",I112&gt;0),AND(E112="Transfer in",J112&gt;0),AND(E112="Transfer out",I112&gt;0)),"Check type/direction",IF(AND(OR(E112="Transfer in",E112="Transfer out"),M112=""),"Add transfer pair ID",IF(AND(OR(E112="Transfer in",E112="Transfer out"),COUNTIFS($M$7:$M$506,M112,$D$7:$D$506,D112)&lt;&gt;2),"Check transfer pair",IF(AND(E112="Expense",K112=""),"Assign budget fund",IF(AND(E112="Expense",L112=""),"Add receipt / proof",""))))))))))</x:f>
      </x:c>
    </x:row>
    <x:row r="113" ht="24" customHeight="1">
      <x:c r="A113" s="10"/>
      <x:c r="B113" s="5"/>
      <x:c r="C113" s="10"/>
      <x:c r="D113" s="10"/>
      <x:c r="E113" s="10"/>
      <x:c r="F113" s="10"/>
      <x:c r="G113" s="10"/>
      <x:c r="H113" s="10"/>
      <x:c r="I113" s="11"/>
      <x:c r="J113" s="11"/>
      <x:c r="K113" s="10"/>
      <x:c r="L113" s="10"/>
      <x:c r="M113" s="10"/>
      <x:c r="N113" s="10"/>
      <x:c r="O113" s="1" t="str">
        <x:f>IF(COUNTA(A113:N113)=0,"",IF(OR(A113="",B113="",C113="",NOT(ISNUMBER(D113)),NOT(ISNUMBER(E113))),"Complete required fields",IF(COUNTIFS($A$7:$A$506,A113)&gt;1,"Duplicate ID",IF(COUNTIFS('Accounts'!$A$7:$A$26,C113,'Accounts'!$B$7:$B$26,D113)&lt;&gt;1,"Check account/currency",IF(OR(I113&lt;0,J113&lt;0,AND(I113&gt;0,J113&gt;0),AND(I113=0,J113=0)),"Check amounts",IF(OR(AND(E113="Income",J113&gt;0),AND(E113="Expense",I113&gt;0),AND(E113="Transfer in",J113&gt;0),AND(E113="Transfer out",I113&gt;0)),"Check type/direction",IF(AND(OR(E113="Transfer in",E113="Transfer out"),M113=""),"Add transfer pair ID",IF(AND(OR(E113="Transfer in",E113="Transfer out"),COUNTIFS($M$7:$M$506,M113,$D$7:$D$506,D113)&lt;&gt;2),"Check transfer pair",IF(AND(E113="Expense",K113=""),"Assign budget fund",IF(AND(E113="Expense",L113=""),"Add receipt / proof",""))))))))))</x:f>
      </x:c>
    </x:row>
    <x:row r="114" ht="24" customHeight="1">
      <x:c r="A114" s="10"/>
      <x:c r="B114" s="5"/>
      <x:c r="C114" s="10"/>
      <x:c r="D114" s="10"/>
      <x:c r="E114" s="10"/>
      <x:c r="F114" s="10"/>
      <x:c r="G114" s="10"/>
      <x:c r="H114" s="10"/>
      <x:c r="I114" s="11"/>
      <x:c r="J114" s="11"/>
      <x:c r="K114" s="10"/>
      <x:c r="L114" s="10"/>
      <x:c r="M114" s="10"/>
      <x:c r="N114" s="10"/>
      <x:c r="O114" s="1" t="str">
        <x:f>IF(COUNTA(A114:N114)=0,"",IF(OR(A114="",B114="",C114="",NOT(ISNUMBER(D114)),NOT(ISNUMBER(E114))),"Complete required fields",IF(COUNTIFS($A$7:$A$506,A114)&gt;1,"Duplicate ID",IF(COUNTIFS('Accounts'!$A$7:$A$26,C114,'Accounts'!$B$7:$B$26,D114)&lt;&gt;1,"Check account/currency",IF(OR(I114&lt;0,J114&lt;0,AND(I114&gt;0,J114&gt;0),AND(I114=0,J114=0)),"Check amounts",IF(OR(AND(E114="Income",J114&gt;0),AND(E114="Expense",I114&gt;0),AND(E114="Transfer in",J114&gt;0),AND(E114="Transfer out",I114&gt;0)),"Check type/direction",IF(AND(OR(E114="Transfer in",E114="Transfer out"),M114=""),"Add transfer pair ID",IF(AND(OR(E114="Transfer in",E114="Transfer out"),COUNTIFS($M$7:$M$506,M114,$D$7:$D$506,D114)&lt;&gt;2),"Check transfer pair",IF(AND(E114="Expense",K114=""),"Assign budget fund",IF(AND(E114="Expense",L114=""),"Add receipt / proof",""))))))))))</x:f>
      </x:c>
    </x:row>
    <x:row r="115" ht="24" customHeight="1">
      <x:c r="A115" s="10"/>
      <x:c r="B115" s="5"/>
      <x:c r="C115" s="10"/>
      <x:c r="D115" s="10"/>
      <x:c r="E115" s="10"/>
      <x:c r="F115" s="10"/>
      <x:c r="G115" s="10"/>
      <x:c r="H115" s="10"/>
      <x:c r="I115" s="11"/>
      <x:c r="J115" s="11"/>
      <x:c r="K115" s="10"/>
      <x:c r="L115" s="10"/>
      <x:c r="M115" s="10"/>
      <x:c r="N115" s="10"/>
      <x:c r="O115" s="1" t="str">
        <x:f>IF(COUNTA(A115:N115)=0,"",IF(OR(A115="",B115="",C115="",NOT(ISNUMBER(D115)),NOT(ISNUMBER(E115))),"Complete required fields",IF(COUNTIFS($A$7:$A$506,A115)&gt;1,"Duplicate ID",IF(COUNTIFS('Accounts'!$A$7:$A$26,C115,'Accounts'!$B$7:$B$26,D115)&lt;&gt;1,"Check account/currency",IF(OR(I115&lt;0,J115&lt;0,AND(I115&gt;0,J115&gt;0),AND(I115=0,J115=0)),"Check amounts",IF(OR(AND(E115="Income",J115&gt;0),AND(E115="Expense",I115&gt;0),AND(E115="Transfer in",J115&gt;0),AND(E115="Transfer out",I115&gt;0)),"Check type/direction",IF(AND(OR(E115="Transfer in",E115="Transfer out"),M115=""),"Add transfer pair ID",IF(AND(OR(E115="Transfer in",E115="Transfer out"),COUNTIFS($M$7:$M$506,M115,$D$7:$D$506,D115)&lt;&gt;2),"Check transfer pair",IF(AND(E115="Expense",K115=""),"Assign budget fund",IF(AND(E115="Expense",L115=""),"Add receipt / proof",""))))))))))</x:f>
      </x:c>
    </x:row>
    <x:row r="116" ht="24" customHeight="1">
      <x:c r="A116" s="10"/>
      <x:c r="B116" s="5"/>
      <x:c r="C116" s="10"/>
      <x:c r="D116" s="10"/>
      <x:c r="E116" s="10"/>
      <x:c r="F116" s="10"/>
      <x:c r="G116" s="10"/>
      <x:c r="H116" s="10"/>
      <x:c r="I116" s="11"/>
      <x:c r="J116" s="11"/>
      <x:c r="K116" s="10"/>
      <x:c r="L116" s="10"/>
      <x:c r="M116" s="10"/>
      <x:c r="N116" s="10"/>
      <x:c r="O116" s="1" t="str">
        <x:f>IF(COUNTA(A116:N116)=0,"",IF(OR(A116="",B116="",C116="",NOT(ISNUMBER(D116)),NOT(ISNUMBER(E116))),"Complete required fields",IF(COUNTIFS($A$7:$A$506,A116)&gt;1,"Duplicate ID",IF(COUNTIFS('Accounts'!$A$7:$A$26,C116,'Accounts'!$B$7:$B$26,D116)&lt;&gt;1,"Check account/currency",IF(OR(I116&lt;0,J116&lt;0,AND(I116&gt;0,J116&gt;0),AND(I116=0,J116=0)),"Check amounts",IF(OR(AND(E116="Income",J116&gt;0),AND(E116="Expense",I116&gt;0),AND(E116="Transfer in",J116&gt;0),AND(E116="Transfer out",I116&gt;0)),"Check type/direction",IF(AND(OR(E116="Transfer in",E116="Transfer out"),M116=""),"Add transfer pair ID",IF(AND(OR(E116="Transfer in",E116="Transfer out"),COUNTIFS($M$7:$M$506,M116,$D$7:$D$506,D116)&lt;&gt;2),"Check transfer pair",IF(AND(E116="Expense",K116=""),"Assign budget fund",IF(AND(E116="Expense",L116=""),"Add receipt / proof",""))))))))))</x:f>
      </x:c>
    </x:row>
    <x:row r="117" ht="24" customHeight="1">
      <x:c r="A117" s="10"/>
      <x:c r="B117" s="5"/>
      <x:c r="C117" s="10"/>
      <x:c r="D117" s="10"/>
      <x:c r="E117" s="10"/>
      <x:c r="F117" s="10"/>
      <x:c r="G117" s="10"/>
      <x:c r="H117" s="10"/>
      <x:c r="I117" s="11"/>
      <x:c r="J117" s="11"/>
      <x:c r="K117" s="10"/>
      <x:c r="L117" s="10"/>
      <x:c r="M117" s="10"/>
      <x:c r="N117" s="10"/>
      <x:c r="O117" s="1" t="str">
        <x:f>IF(COUNTA(A117:N117)=0,"",IF(OR(A117="",B117="",C117="",NOT(ISNUMBER(D117)),NOT(ISNUMBER(E117))),"Complete required fields",IF(COUNTIFS($A$7:$A$506,A117)&gt;1,"Duplicate ID",IF(COUNTIFS('Accounts'!$A$7:$A$26,C117,'Accounts'!$B$7:$B$26,D117)&lt;&gt;1,"Check account/currency",IF(OR(I117&lt;0,J117&lt;0,AND(I117&gt;0,J117&gt;0),AND(I117=0,J117=0)),"Check amounts",IF(OR(AND(E117="Income",J117&gt;0),AND(E117="Expense",I117&gt;0),AND(E117="Transfer in",J117&gt;0),AND(E117="Transfer out",I117&gt;0)),"Check type/direction",IF(AND(OR(E117="Transfer in",E117="Transfer out"),M117=""),"Add transfer pair ID",IF(AND(OR(E117="Transfer in",E117="Transfer out"),COUNTIFS($M$7:$M$506,M117,$D$7:$D$506,D117)&lt;&gt;2),"Check transfer pair",IF(AND(E117="Expense",K117=""),"Assign budget fund",IF(AND(E117="Expense",L117=""),"Add receipt / proof",""))))))))))</x:f>
      </x:c>
    </x:row>
    <x:row r="118" ht="24" customHeight="1">
      <x:c r="A118" s="10"/>
      <x:c r="B118" s="5"/>
      <x:c r="C118" s="10"/>
      <x:c r="D118" s="10"/>
      <x:c r="E118" s="10"/>
      <x:c r="F118" s="10"/>
      <x:c r="G118" s="10"/>
      <x:c r="H118" s="10"/>
      <x:c r="I118" s="11"/>
      <x:c r="J118" s="11"/>
      <x:c r="K118" s="10"/>
      <x:c r="L118" s="10"/>
      <x:c r="M118" s="10"/>
      <x:c r="N118" s="10"/>
      <x:c r="O118" s="1" t="str">
        <x:f>IF(COUNTA(A118:N118)=0,"",IF(OR(A118="",B118="",C118="",NOT(ISNUMBER(D118)),NOT(ISNUMBER(E118))),"Complete required fields",IF(COUNTIFS($A$7:$A$506,A118)&gt;1,"Duplicate ID",IF(COUNTIFS('Accounts'!$A$7:$A$26,C118,'Accounts'!$B$7:$B$26,D118)&lt;&gt;1,"Check account/currency",IF(OR(I118&lt;0,J118&lt;0,AND(I118&gt;0,J118&gt;0),AND(I118=0,J118=0)),"Check amounts",IF(OR(AND(E118="Income",J118&gt;0),AND(E118="Expense",I118&gt;0),AND(E118="Transfer in",J118&gt;0),AND(E118="Transfer out",I118&gt;0)),"Check type/direction",IF(AND(OR(E118="Transfer in",E118="Transfer out"),M118=""),"Add transfer pair ID",IF(AND(OR(E118="Transfer in",E118="Transfer out"),COUNTIFS($M$7:$M$506,M118,$D$7:$D$506,D118)&lt;&gt;2),"Check transfer pair",IF(AND(E118="Expense",K118=""),"Assign budget fund",IF(AND(E118="Expense",L118=""),"Add receipt / proof",""))))))))))</x:f>
      </x:c>
    </x:row>
    <x:row r="119" ht="24" customHeight="1">
      <x:c r="A119" s="10"/>
      <x:c r="B119" s="5"/>
      <x:c r="C119" s="10"/>
      <x:c r="D119" s="10"/>
      <x:c r="E119" s="10"/>
      <x:c r="F119" s="10"/>
      <x:c r="G119" s="10"/>
      <x:c r="H119" s="10"/>
      <x:c r="I119" s="11"/>
      <x:c r="J119" s="11"/>
      <x:c r="K119" s="10"/>
      <x:c r="L119" s="10"/>
      <x:c r="M119" s="10"/>
      <x:c r="N119" s="10"/>
      <x:c r="O119" s="1" t="str">
        <x:f>IF(COUNTA(A119:N119)=0,"",IF(OR(A119="",B119="",C119="",NOT(ISNUMBER(D119)),NOT(ISNUMBER(E119))),"Complete required fields",IF(COUNTIFS($A$7:$A$506,A119)&gt;1,"Duplicate ID",IF(COUNTIFS('Accounts'!$A$7:$A$26,C119,'Accounts'!$B$7:$B$26,D119)&lt;&gt;1,"Check account/currency",IF(OR(I119&lt;0,J119&lt;0,AND(I119&gt;0,J119&gt;0),AND(I119=0,J119=0)),"Check amounts",IF(OR(AND(E119="Income",J119&gt;0),AND(E119="Expense",I119&gt;0),AND(E119="Transfer in",J119&gt;0),AND(E119="Transfer out",I119&gt;0)),"Check type/direction",IF(AND(OR(E119="Transfer in",E119="Transfer out"),M119=""),"Add transfer pair ID",IF(AND(OR(E119="Transfer in",E119="Transfer out"),COUNTIFS($M$7:$M$506,M119,$D$7:$D$506,D119)&lt;&gt;2),"Check transfer pair",IF(AND(E119="Expense",K119=""),"Assign budget fund",IF(AND(E119="Expense",L119=""),"Add receipt / proof",""))))))))))</x:f>
      </x:c>
    </x:row>
    <x:row r="120" ht="24" customHeight="1">
      <x:c r="A120" s="10"/>
      <x:c r="B120" s="5"/>
      <x:c r="C120" s="10"/>
      <x:c r="D120" s="10"/>
      <x:c r="E120" s="10"/>
      <x:c r="F120" s="10"/>
      <x:c r="G120" s="10"/>
      <x:c r="H120" s="10"/>
      <x:c r="I120" s="11"/>
      <x:c r="J120" s="11"/>
      <x:c r="K120" s="10"/>
      <x:c r="L120" s="10"/>
      <x:c r="M120" s="10"/>
      <x:c r="N120" s="10"/>
      <x:c r="O120" s="1" t="str">
        <x:f>IF(COUNTA(A120:N120)=0,"",IF(OR(A120="",B120="",C120="",NOT(ISNUMBER(D120)),NOT(ISNUMBER(E120))),"Complete required fields",IF(COUNTIFS($A$7:$A$506,A120)&gt;1,"Duplicate ID",IF(COUNTIFS('Accounts'!$A$7:$A$26,C120,'Accounts'!$B$7:$B$26,D120)&lt;&gt;1,"Check account/currency",IF(OR(I120&lt;0,J120&lt;0,AND(I120&gt;0,J120&gt;0),AND(I120=0,J120=0)),"Check amounts",IF(OR(AND(E120="Income",J120&gt;0),AND(E120="Expense",I120&gt;0),AND(E120="Transfer in",J120&gt;0),AND(E120="Transfer out",I120&gt;0)),"Check type/direction",IF(AND(OR(E120="Transfer in",E120="Transfer out"),M120=""),"Add transfer pair ID",IF(AND(OR(E120="Transfer in",E120="Transfer out"),COUNTIFS($M$7:$M$506,M120,$D$7:$D$506,D120)&lt;&gt;2),"Check transfer pair",IF(AND(E120="Expense",K120=""),"Assign budget fund",IF(AND(E120="Expense",L120=""),"Add receipt / proof",""))))))))))</x:f>
      </x:c>
    </x:row>
    <x:row r="121" ht="24" customHeight="1">
      <x:c r="A121" s="10"/>
      <x:c r="B121" s="5"/>
      <x:c r="C121" s="10"/>
      <x:c r="D121" s="10"/>
      <x:c r="E121" s="10"/>
      <x:c r="F121" s="10"/>
      <x:c r="G121" s="10"/>
      <x:c r="H121" s="10"/>
      <x:c r="I121" s="11"/>
      <x:c r="J121" s="11"/>
      <x:c r="K121" s="10"/>
      <x:c r="L121" s="10"/>
      <x:c r="M121" s="10"/>
      <x:c r="N121" s="10"/>
      <x:c r="O121" s="1" t="str">
        <x:f>IF(COUNTA(A121:N121)=0,"",IF(OR(A121="",B121="",C121="",NOT(ISNUMBER(D121)),NOT(ISNUMBER(E121))),"Complete required fields",IF(COUNTIFS($A$7:$A$506,A121)&gt;1,"Duplicate ID",IF(COUNTIFS('Accounts'!$A$7:$A$26,C121,'Accounts'!$B$7:$B$26,D121)&lt;&gt;1,"Check account/currency",IF(OR(I121&lt;0,J121&lt;0,AND(I121&gt;0,J121&gt;0),AND(I121=0,J121=0)),"Check amounts",IF(OR(AND(E121="Income",J121&gt;0),AND(E121="Expense",I121&gt;0),AND(E121="Transfer in",J121&gt;0),AND(E121="Transfer out",I121&gt;0)),"Check type/direction",IF(AND(OR(E121="Transfer in",E121="Transfer out"),M121=""),"Add transfer pair ID",IF(AND(OR(E121="Transfer in",E121="Transfer out"),COUNTIFS($M$7:$M$506,M121,$D$7:$D$506,D121)&lt;&gt;2),"Check transfer pair",IF(AND(E121="Expense",K121=""),"Assign budget fund",IF(AND(E121="Expense",L121=""),"Add receipt / proof",""))))))))))</x:f>
      </x:c>
    </x:row>
    <x:row r="122" ht="24" customHeight="1">
      <x:c r="A122" s="10"/>
      <x:c r="B122" s="5"/>
      <x:c r="C122" s="10"/>
      <x:c r="D122" s="10"/>
      <x:c r="E122" s="10"/>
      <x:c r="F122" s="10"/>
      <x:c r="G122" s="10"/>
      <x:c r="H122" s="10"/>
      <x:c r="I122" s="11"/>
      <x:c r="J122" s="11"/>
      <x:c r="K122" s="10"/>
      <x:c r="L122" s="10"/>
      <x:c r="M122" s="10"/>
      <x:c r="N122" s="10"/>
      <x:c r="O122" s="1" t="str">
        <x:f>IF(COUNTA(A122:N122)=0,"",IF(OR(A122="",B122="",C122="",NOT(ISNUMBER(D122)),NOT(ISNUMBER(E122))),"Complete required fields",IF(COUNTIFS($A$7:$A$506,A122)&gt;1,"Duplicate ID",IF(COUNTIFS('Accounts'!$A$7:$A$26,C122,'Accounts'!$B$7:$B$26,D122)&lt;&gt;1,"Check account/currency",IF(OR(I122&lt;0,J122&lt;0,AND(I122&gt;0,J122&gt;0),AND(I122=0,J122=0)),"Check amounts",IF(OR(AND(E122="Income",J122&gt;0),AND(E122="Expense",I122&gt;0),AND(E122="Transfer in",J122&gt;0),AND(E122="Transfer out",I122&gt;0)),"Check type/direction",IF(AND(OR(E122="Transfer in",E122="Transfer out"),M122=""),"Add transfer pair ID",IF(AND(OR(E122="Transfer in",E122="Transfer out"),COUNTIFS($M$7:$M$506,M122,$D$7:$D$506,D122)&lt;&gt;2),"Check transfer pair",IF(AND(E122="Expense",K122=""),"Assign budget fund",IF(AND(E122="Expense",L122=""),"Add receipt / proof",""))))))))))</x:f>
      </x:c>
    </x:row>
    <x:row r="123" ht="24" customHeight="1">
      <x:c r="A123" s="10"/>
      <x:c r="B123" s="5"/>
      <x:c r="C123" s="10"/>
      <x:c r="D123" s="10"/>
      <x:c r="E123" s="10"/>
      <x:c r="F123" s="10"/>
      <x:c r="G123" s="10"/>
      <x:c r="H123" s="10"/>
      <x:c r="I123" s="11"/>
      <x:c r="J123" s="11"/>
      <x:c r="K123" s="10"/>
      <x:c r="L123" s="10"/>
      <x:c r="M123" s="10"/>
      <x:c r="N123" s="10"/>
      <x:c r="O123" s="1" t="str">
        <x:f>IF(COUNTA(A123:N123)=0,"",IF(OR(A123="",B123="",C123="",NOT(ISNUMBER(D123)),NOT(ISNUMBER(E123))),"Complete required fields",IF(COUNTIFS($A$7:$A$506,A123)&gt;1,"Duplicate ID",IF(COUNTIFS('Accounts'!$A$7:$A$26,C123,'Accounts'!$B$7:$B$26,D123)&lt;&gt;1,"Check account/currency",IF(OR(I123&lt;0,J123&lt;0,AND(I123&gt;0,J123&gt;0),AND(I123=0,J123=0)),"Check amounts",IF(OR(AND(E123="Income",J123&gt;0),AND(E123="Expense",I123&gt;0),AND(E123="Transfer in",J123&gt;0),AND(E123="Transfer out",I123&gt;0)),"Check type/direction",IF(AND(OR(E123="Transfer in",E123="Transfer out"),M123=""),"Add transfer pair ID",IF(AND(OR(E123="Transfer in",E123="Transfer out"),COUNTIFS($M$7:$M$506,M123,$D$7:$D$506,D123)&lt;&gt;2),"Check transfer pair",IF(AND(E123="Expense",K123=""),"Assign budget fund",IF(AND(E123="Expense",L123=""),"Add receipt / proof",""))))))))))</x:f>
      </x:c>
    </x:row>
    <x:row r="124" ht="24" customHeight="1">
      <x:c r="A124" s="10"/>
      <x:c r="B124" s="5"/>
      <x:c r="C124" s="10"/>
      <x:c r="D124" s="10"/>
      <x:c r="E124" s="10"/>
      <x:c r="F124" s="10"/>
      <x:c r="G124" s="10"/>
      <x:c r="H124" s="10"/>
      <x:c r="I124" s="11"/>
      <x:c r="J124" s="11"/>
      <x:c r="K124" s="10"/>
      <x:c r="L124" s="10"/>
      <x:c r="M124" s="10"/>
      <x:c r="N124" s="10"/>
      <x:c r="O124" s="1" t="str">
        <x:f>IF(COUNTA(A124:N124)=0,"",IF(OR(A124="",B124="",C124="",NOT(ISNUMBER(D124)),NOT(ISNUMBER(E124))),"Complete required fields",IF(COUNTIFS($A$7:$A$506,A124)&gt;1,"Duplicate ID",IF(COUNTIFS('Accounts'!$A$7:$A$26,C124,'Accounts'!$B$7:$B$26,D124)&lt;&gt;1,"Check account/currency",IF(OR(I124&lt;0,J124&lt;0,AND(I124&gt;0,J124&gt;0),AND(I124=0,J124=0)),"Check amounts",IF(OR(AND(E124="Income",J124&gt;0),AND(E124="Expense",I124&gt;0),AND(E124="Transfer in",J124&gt;0),AND(E124="Transfer out",I124&gt;0)),"Check type/direction",IF(AND(OR(E124="Transfer in",E124="Transfer out"),M124=""),"Add transfer pair ID",IF(AND(OR(E124="Transfer in",E124="Transfer out"),COUNTIFS($M$7:$M$506,M124,$D$7:$D$506,D124)&lt;&gt;2),"Check transfer pair",IF(AND(E124="Expense",K124=""),"Assign budget fund",IF(AND(E124="Expense",L124=""),"Add receipt / proof",""))))))))))</x:f>
      </x:c>
    </x:row>
    <x:row r="125" ht="24" customHeight="1">
      <x:c r="A125" s="10"/>
      <x:c r="B125" s="5"/>
      <x:c r="C125" s="10"/>
      <x:c r="D125" s="10"/>
      <x:c r="E125" s="10"/>
      <x:c r="F125" s="10"/>
      <x:c r="G125" s="10"/>
      <x:c r="H125" s="10"/>
      <x:c r="I125" s="11"/>
      <x:c r="J125" s="11"/>
      <x:c r="K125" s="10"/>
      <x:c r="L125" s="10"/>
      <x:c r="M125" s="10"/>
      <x:c r="N125" s="10"/>
      <x:c r="O125" s="1" t="str">
        <x:f>IF(COUNTA(A125:N125)=0,"",IF(OR(A125="",B125="",C125="",NOT(ISNUMBER(D125)),NOT(ISNUMBER(E125))),"Complete required fields",IF(COUNTIFS($A$7:$A$506,A125)&gt;1,"Duplicate ID",IF(COUNTIFS('Accounts'!$A$7:$A$26,C125,'Accounts'!$B$7:$B$26,D125)&lt;&gt;1,"Check account/currency",IF(OR(I125&lt;0,J125&lt;0,AND(I125&gt;0,J125&gt;0),AND(I125=0,J125=0)),"Check amounts",IF(OR(AND(E125="Income",J125&gt;0),AND(E125="Expense",I125&gt;0),AND(E125="Transfer in",J125&gt;0),AND(E125="Transfer out",I125&gt;0)),"Check type/direction",IF(AND(OR(E125="Transfer in",E125="Transfer out"),M125=""),"Add transfer pair ID",IF(AND(OR(E125="Transfer in",E125="Transfer out"),COUNTIFS($M$7:$M$506,M125,$D$7:$D$506,D125)&lt;&gt;2),"Check transfer pair",IF(AND(E125="Expense",K125=""),"Assign budget fund",IF(AND(E125="Expense",L125=""),"Add receipt / proof",""))))))))))</x:f>
      </x:c>
    </x:row>
    <x:row r="126" ht="24" customHeight="1">
      <x:c r="A126" s="10"/>
      <x:c r="B126" s="5"/>
      <x:c r="C126" s="10"/>
      <x:c r="D126" s="10"/>
      <x:c r="E126" s="10"/>
      <x:c r="F126" s="10"/>
      <x:c r="G126" s="10"/>
      <x:c r="H126" s="10"/>
      <x:c r="I126" s="11"/>
      <x:c r="J126" s="11"/>
      <x:c r="K126" s="10"/>
      <x:c r="L126" s="10"/>
      <x:c r="M126" s="10"/>
      <x:c r="N126" s="10"/>
      <x:c r="O126" s="1" t="str">
        <x:f>IF(COUNTA(A126:N126)=0,"",IF(OR(A126="",B126="",C126="",NOT(ISNUMBER(D126)),NOT(ISNUMBER(E126))),"Complete required fields",IF(COUNTIFS($A$7:$A$506,A126)&gt;1,"Duplicate ID",IF(COUNTIFS('Accounts'!$A$7:$A$26,C126,'Accounts'!$B$7:$B$26,D126)&lt;&gt;1,"Check account/currency",IF(OR(I126&lt;0,J126&lt;0,AND(I126&gt;0,J126&gt;0),AND(I126=0,J126=0)),"Check amounts",IF(OR(AND(E126="Income",J126&gt;0),AND(E126="Expense",I126&gt;0),AND(E126="Transfer in",J126&gt;0),AND(E126="Transfer out",I126&gt;0)),"Check type/direction",IF(AND(OR(E126="Transfer in",E126="Transfer out"),M126=""),"Add transfer pair ID",IF(AND(OR(E126="Transfer in",E126="Transfer out"),COUNTIFS($M$7:$M$506,M126,$D$7:$D$506,D126)&lt;&gt;2),"Check transfer pair",IF(AND(E126="Expense",K126=""),"Assign budget fund",IF(AND(E126="Expense",L126=""),"Add receipt / proof",""))))))))))</x:f>
      </x:c>
    </x:row>
    <x:row r="127" ht="24" customHeight="1">
      <x:c r="A127" s="10"/>
      <x:c r="B127" s="5"/>
      <x:c r="C127" s="10"/>
      <x:c r="D127" s="10"/>
      <x:c r="E127" s="10"/>
      <x:c r="F127" s="10"/>
      <x:c r="G127" s="10"/>
      <x:c r="H127" s="10"/>
      <x:c r="I127" s="11"/>
      <x:c r="J127" s="11"/>
      <x:c r="K127" s="10"/>
      <x:c r="L127" s="10"/>
      <x:c r="M127" s="10"/>
      <x:c r="N127" s="10"/>
      <x:c r="O127" s="1" t="str">
        <x:f>IF(COUNTA(A127:N127)=0,"",IF(OR(A127="",B127="",C127="",NOT(ISNUMBER(D127)),NOT(ISNUMBER(E127))),"Complete required fields",IF(COUNTIFS($A$7:$A$506,A127)&gt;1,"Duplicate ID",IF(COUNTIFS('Accounts'!$A$7:$A$26,C127,'Accounts'!$B$7:$B$26,D127)&lt;&gt;1,"Check account/currency",IF(OR(I127&lt;0,J127&lt;0,AND(I127&gt;0,J127&gt;0),AND(I127=0,J127=0)),"Check amounts",IF(OR(AND(E127="Income",J127&gt;0),AND(E127="Expense",I127&gt;0),AND(E127="Transfer in",J127&gt;0),AND(E127="Transfer out",I127&gt;0)),"Check type/direction",IF(AND(OR(E127="Transfer in",E127="Transfer out"),M127=""),"Add transfer pair ID",IF(AND(OR(E127="Transfer in",E127="Transfer out"),COUNTIFS($M$7:$M$506,M127,$D$7:$D$506,D127)&lt;&gt;2),"Check transfer pair",IF(AND(E127="Expense",K127=""),"Assign budget fund",IF(AND(E127="Expense",L127=""),"Add receipt / proof",""))))))))))</x:f>
      </x:c>
    </x:row>
    <x:row r="128" ht="24" customHeight="1">
      <x:c r="A128" s="10"/>
      <x:c r="B128" s="5"/>
      <x:c r="C128" s="10"/>
      <x:c r="D128" s="10"/>
      <x:c r="E128" s="10"/>
      <x:c r="F128" s="10"/>
      <x:c r="G128" s="10"/>
      <x:c r="H128" s="10"/>
      <x:c r="I128" s="11"/>
      <x:c r="J128" s="11"/>
      <x:c r="K128" s="10"/>
      <x:c r="L128" s="10"/>
      <x:c r="M128" s="10"/>
      <x:c r="N128" s="10"/>
      <x:c r="O128" s="1" t="str">
        <x:f>IF(COUNTA(A128:N128)=0,"",IF(OR(A128="",B128="",C128="",NOT(ISNUMBER(D128)),NOT(ISNUMBER(E128))),"Complete required fields",IF(COUNTIFS($A$7:$A$506,A128)&gt;1,"Duplicate ID",IF(COUNTIFS('Accounts'!$A$7:$A$26,C128,'Accounts'!$B$7:$B$26,D128)&lt;&gt;1,"Check account/currency",IF(OR(I128&lt;0,J128&lt;0,AND(I128&gt;0,J128&gt;0),AND(I128=0,J128=0)),"Check amounts",IF(OR(AND(E128="Income",J128&gt;0),AND(E128="Expense",I128&gt;0),AND(E128="Transfer in",J128&gt;0),AND(E128="Transfer out",I128&gt;0)),"Check type/direction",IF(AND(OR(E128="Transfer in",E128="Transfer out"),M128=""),"Add transfer pair ID",IF(AND(OR(E128="Transfer in",E128="Transfer out"),COUNTIFS($M$7:$M$506,M128,$D$7:$D$506,D128)&lt;&gt;2),"Check transfer pair",IF(AND(E128="Expense",K128=""),"Assign budget fund",IF(AND(E128="Expense",L128=""),"Add receipt / proof",""))))))))))</x:f>
      </x:c>
    </x:row>
    <x:row r="129" ht="24" customHeight="1">
      <x:c r="A129" s="10"/>
      <x:c r="B129" s="5"/>
      <x:c r="C129" s="10"/>
      <x:c r="D129" s="10"/>
      <x:c r="E129" s="10"/>
      <x:c r="F129" s="10"/>
      <x:c r="G129" s="10"/>
      <x:c r="H129" s="10"/>
      <x:c r="I129" s="11"/>
      <x:c r="J129" s="11"/>
      <x:c r="K129" s="10"/>
      <x:c r="L129" s="10"/>
      <x:c r="M129" s="10"/>
      <x:c r="N129" s="10"/>
      <x:c r="O129" s="1" t="str">
        <x:f>IF(COUNTA(A129:N129)=0,"",IF(OR(A129="",B129="",C129="",NOT(ISNUMBER(D129)),NOT(ISNUMBER(E129))),"Complete required fields",IF(COUNTIFS($A$7:$A$506,A129)&gt;1,"Duplicate ID",IF(COUNTIFS('Accounts'!$A$7:$A$26,C129,'Accounts'!$B$7:$B$26,D129)&lt;&gt;1,"Check account/currency",IF(OR(I129&lt;0,J129&lt;0,AND(I129&gt;0,J129&gt;0),AND(I129=0,J129=0)),"Check amounts",IF(OR(AND(E129="Income",J129&gt;0),AND(E129="Expense",I129&gt;0),AND(E129="Transfer in",J129&gt;0),AND(E129="Transfer out",I129&gt;0)),"Check type/direction",IF(AND(OR(E129="Transfer in",E129="Transfer out"),M129=""),"Add transfer pair ID",IF(AND(OR(E129="Transfer in",E129="Transfer out"),COUNTIFS($M$7:$M$506,M129,$D$7:$D$506,D129)&lt;&gt;2),"Check transfer pair",IF(AND(E129="Expense",K129=""),"Assign budget fund",IF(AND(E129="Expense",L129=""),"Add receipt / proof",""))))))))))</x:f>
      </x:c>
    </x:row>
    <x:row r="130" ht="24" customHeight="1">
      <x:c r="A130" s="10"/>
      <x:c r="B130" s="5"/>
      <x:c r="C130" s="10"/>
      <x:c r="D130" s="10"/>
      <x:c r="E130" s="10"/>
      <x:c r="F130" s="10"/>
      <x:c r="G130" s="10"/>
      <x:c r="H130" s="10"/>
      <x:c r="I130" s="11"/>
      <x:c r="J130" s="11"/>
      <x:c r="K130" s="10"/>
      <x:c r="L130" s="10"/>
      <x:c r="M130" s="10"/>
      <x:c r="N130" s="10"/>
      <x:c r="O130" s="1" t="str">
        <x:f>IF(COUNTA(A130:N130)=0,"",IF(OR(A130="",B130="",C130="",NOT(ISNUMBER(D130)),NOT(ISNUMBER(E130))),"Complete required fields",IF(COUNTIFS($A$7:$A$506,A130)&gt;1,"Duplicate ID",IF(COUNTIFS('Accounts'!$A$7:$A$26,C130,'Accounts'!$B$7:$B$26,D130)&lt;&gt;1,"Check account/currency",IF(OR(I130&lt;0,J130&lt;0,AND(I130&gt;0,J130&gt;0),AND(I130=0,J130=0)),"Check amounts",IF(OR(AND(E130="Income",J130&gt;0),AND(E130="Expense",I130&gt;0),AND(E130="Transfer in",J130&gt;0),AND(E130="Transfer out",I130&gt;0)),"Check type/direction",IF(AND(OR(E130="Transfer in",E130="Transfer out"),M130=""),"Add transfer pair ID",IF(AND(OR(E130="Transfer in",E130="Transfer out"),COUNTIFS($M$7:$M$506,M130,$D$7:$D$506,D130)&lt;&gt;2),"Check transfer pair",IF(AND(E130="Expense",K130=""),"Assign budget fund",IF(AND(E130="Expense",L130=""),"Add receipt / proof",""))))))))))</x:f>
      </x:c>
    </x:row>
    <x:row r="131" ht="24" customHeight="1">
      <x:c r="A131" s="10"/>
      <x:c r="B131" s="5"/>
      <x:c r="C131" s="10"/>
      <x:c r="D131" s="10"/>
      <x:c r="E131" s="10"/>
      <x:c r="F131" s="10"/>
      <x:c r="G131" s="10"/>
      <x:c r="H131" s="10"/>
      <x:c r="I131" s="11"/>
      <x:c r="J131" s="11"/>
      <x:c r="K131" s="10"/>
      <x:c r="L131" s="10"/>
      <x:c r="M131" s="10"/>
      <x:c r="N131" s="10"/>
      <x:c r="O131" s="1" t="str">
        <x:f>IF(COUNTA(A131:N131)=0,"",IF(OR(A131="",B131="",C131="",NOT(ISNUMBER(D131)),NOT(ISNUMBER(E131))),"Complete required fields",IF(COUNTIFS($A$7:$A$506,A131)&gt;1,"Duplicate ID",IF(COUNTIFS('Accounts'!$A$7:$A$26,C131,'Accounts'!$B$7:$B$26,D131)&lt;&gt;1,"Check account/currency",IF(OR(I131&lt;0,J131&lt;0,AND(I131&gt;0,J131&gt;0),AND(I131=0,J131=0)),"Check amounts",IF(OR(AND(E131="Income",J131&gt;0),AND(E131="Expense",I131&gt;0),AND(E131="Transfer in",J131&gt;0),AND(E131="Transfer out",I131&gt;0)),"Check type/direction",IF(AND(OR(E131="Transfer in",E131="Transfer out"),M131=""),"Add transfer pair ID",IF(AND(OR(E131="Transfer in",E131="Transfer out"),COUNTIFS($M$7:$M$506,M131,$D$7:$D$506,D131)&lt;&gt;2),"Check transfer pair",IF(AND(E131="Expense",K131=""),"Assign budget fund",IF(AND(E131="Expense",L131=""),"Add receipt / proof",""))))))))))</x:f>
      </x:c>
    </x:row>
    <x:row r="132" ht="24" customHeight="1">
      <x:c r="A132" s="10"/>
      <x:c r="B132" s="5"/>
      <x:c r="C132" s="10"/>
      <x:c r="D132" s="10"/>
      <x:c r="E132" s="10"/>
      <x:c r="F132" s="10"/>
      <x:c r="G132" s="10"/>
      <x:c r="H132" s="10"/>
      <x:c r="I132" s="11"/>
      <x:c r="J132" s="11"/>
      <x:c r="K132" s="10"/>
      <x:c r="L132" s="10"/>
      <x:c r="M132" s="10"/>
      <x:c r="N132" s="10"/>
      <x:c r="O132" s="1" t="str">
        <x:f>IF(COUNTA(A132:N132)=0,"",IF(OR(A132="",B132="",C132="",NOT(ISNUMBER(D132)),NOT(ISNUMBER(E132))),"Complete required fields",IF(COUNTIFS($A$7:$A$506,A132)&gt;1,"Duplicate ID",IF(COUNTIFS('Accounts'!$A$7:$A$26,C132,'Accounts'!$B$7:$B$26,D132)&lt;&gt;1,"Check account/currency",IF(OR(I132&lt;0,J132&lt;0,AND(I132&gt;0,J132&gt;0),AND(I132=0,J132=0)),"Check amounts",IF(OR(AND(E132="Income",J132&gt;0),AND(E132="Expense",I132&gt;0),AND(E132="Transfer in",J132&gt;0),AND(E132="Transfer out",I132&gt;0)),"Check type/direction",IF(AND(OR(E132="Transfer in",E132="Transfer out"),M132=""),"Add transfer pair ID",IF(AND(OR(E132="Transfer in",E132="Transfer out"),COUNTIFS($M$7:$M$506,M132,$D$7:$D$506,D132)&lt;&gt;2),"Check transfer pair",IF(AND(E132="Expense",K132=""),"Assign budget fund",IF(AND(E132="Expense",L132=""),"Add receipt / proof",""))))))))))</x:f>
      </x:c>
    </x:row>
    <x:row r="133" ht="24" customHeight="1">
      <x:c r="A133" s="10"/>
      <x:c r="B133" s="5"/>
      <x:c r="C133" s="10"/>
      <x:c r="D133" s="10"/>
      <x:c r="E133" s="10"/>
      <x:c r="F133" s="10"/>
      <x:c r="G133" s="10"/>
      <x:c r="H133" s="10"/>
      <x:c r="I133" s="11"/>
      <x:c r="J133" s="11"/>
      <x:c r="K133" s="10"/>
      <x:c r="L133" s="10"/>
      <x:c r="M133" s="10"/>
      <x:c r="N133" s="10"/>
      <x:c r="O133" s="1" t="str">
        <x:f>IF(COUNTA(A133:N133)=0,"",IF(OR(A133="",B133="",C133="",NOT(ISNUMBER(D133)),NOT(ISNUMBER(E133))),"Complete required fields",IF(COUNTIFS($A$7:$A$506,A133)&gt;1,"Duplicate ID",IF(COUNTIFS('Accounts'!$A$7:$A$26,C133,'Accounts'!$B$7:$B$26,D133)&lt;&gt;1,"Check account/currency",IF(OR(I133&lt;0,J133&lt;0,AND(I133&gt;0,J133&gt;0),AND(I133=0,J133=0)),"Check amounts",IF(OR(AND(E133="Income",J133&gt;0),AND(E133="Expense",I133&gt;0),AND(E133="Transfer in",J133&gt;0),AND(E133="Transfer out",I133&gt;0)),"Check type/direction",IF(AND(OR(E133="Transfer in",E133="Transfer out"),M133=""),"Add transfer pair ID",IF(AND(OR(E133="Transfer in",E133="Transfer out"),COUNTIFS($M$7:$M$506,M133,$D$7:$D$506,D133)&lt;&gt;2),"Check transfer pair",IF(AND(E133="Expense",K133=""),"Assign budget fund",IF(AND(E133="Expense",L133=""),"Add receipt / proof",""))))))))))</x:f>
      </x:c>
    </x:row>
    <x:row r="134" ht="24" customHeight="1">
      <x:c r="A134" s="10"/>
      <x:c r="B134" s="5"/>
      <x:c r="C134" s="10"/>
      <x:c r="D134" s="10"/>
      <x:c r="E134" s="10"/>
      <x:c r="F134" s="10"/>
      <x:c r="G134" s="10"/>
      <x:c r="H134" s="10"/>
      <x:c r="I134" s="11"/>
      <x:c r="J134" s="11"/>
      <x:c r="K134" s="10"/>
      <x:c r="L134" s="10"/>
      <x:c r="M134" s="10"/>
      <x:c r="N134" s="10"/>
      <x:c r="O134" s="1" t="str">
        <x:f>IF(COUNTA(A134:N134)=0,"",IF(OR(A134="",B134="",C134="",NOT(ISNUMBER(D134)),NOT(ISNUMBER(E134))),"Complete required fields",IF(COUNTIFS($A$7:$A$506,A134)&gt;1,"Duplicate ID",IF(COUNTIFS('Accounts'!$A$7:$A$26,C134,'Accounts'!$B$7:$B$26,D134)&lt;&gt;1,"Check account/currency",IF(OR(I134&lt;0,J134&lt;0,AND(I134&gt;0,J134&gt;0),AND(I134=0,J134=0)),"Check amounts",IF(OR(AND(E134="Income",J134&gt;0),AND(E134="Expense",I134&gt;0),AND(E134="Transfer in",J134&gt;0),AND(E134="Transfer out",I134&gt;0)),"Check type/direction",IF(AND(OR(E134="Transfer in",E134="Transfer out"),M134=""),"Add transfer pair ID",IF(AND(OR(E134="Transfer in",E134="Transfer out"),COUNTIFS($M$7:$M$506,M134,$D$7:$D$506,D134)&lt;&gt;2),"Check transfer pair",IF(AND(E134="Expense",K134=""),"Assign budget fund",IF(AND(E134="Expense",L134=""),"Add receipt / proof",""))))))))))</x:f>
      </x:c>
    </x:row>
    <x:row r="135" ht="24" customHeight="1">
      <x:c r="A135" s="10"/>
      <x:c r="B135" s="5"/>
      <x:c r="C135" s="10"/>
      <x:c r="D135" s="10"/>
      <x:c r="E135" s="10"/>
      <x:c r="F135" s="10"/>
      <x:c r="G135" s="10"/>
      <x:c r="H135" s="10"/>
      <x:c r="I135" s="11"/>
      <x:c r="J135" s="11"/>
      <x:c r="K135" s="10"/>
      <x:c r="L135" s="10"/>
      <x:c r="M135" s="10"/>
      <x:c r="N135" s="10"/>
      <x:c r="O135" s="1" t="str">
        <x:f>IF(COUNTA(A135:N135)=0,"",IF(OR(A135="",B135="",C135="",NOT(ISNUMBER(D135)),NOT(ISNUMBER(E135))),"Complete required fields",IF(COUNTIFS($A$7:$A$506,A135)&gt;1,"Duplicate ID",IF(COUNTIFS('Accounts'!$A$7:$A$26,C135,'Accounts'!$B$7:$B$26,D135)&lt;&gt;1,"Check account/currency",IF(OR(I135&lt;0,J135&lt;0,AND(I135&gt;0,J135&gt;0),AND(I135=0,J135=0)),"Check amounts",IF(OR(AND(E135="Income",J135&gt;0),AND(E135="Expense",I135&gt;0),AND(E135="Transfer in",J135&gt;0),AND(E135="Transfer out",I135&gt;0)),"Check type/direction",IF(AND(OR(E135="Transfer in",E135="Transfer out"),M135=""),"Add transfer pair ID",IF(AND(OR(E135="Transfer in",E135="Transfer out"),COUNTIFS($M$7:$M$506,M135,$D$7:$D$506,D135)&lt;&gt;2),"Check transfer pair",IF(AND(E135="Expense",K135=""),"Assign budget fund",IF(AND(E135="Expense",L135=""),"Add receipt / proof",""))))))))))</x:f>
      </x:c>
    </x:row>
    <x:row r="136" ht="24" customHeight="1">
      <x:c r="A136" s="10"/>
      <x:c r="B136" s="5"/>
      <x:c r="C136" s="10"/>
      <x:c r="D136" s="10"/>
      <x:c r="E136" s="10"/>
      <x:c r="F136" s="10"/>
      <x:c r="G136" s="10"/>
      <x:c r="H136" s="10"/>
      <x:c r="I136" s="11"/>
      <x:c r="J136" s="11"/>
      <x:c r="K136" s="10"/>
      <x:c r="L136" s="10"/>
      <x:c r="M136" s="10"/>
      <x:c r="N136" s="10"/>
      <x:c r="O136" s="1" t="str">
        <x:f>IF(COUNTA(A136:N136)=0,"",IF(OR(A136="",B136="",C136="",NOT(ISNUMBER(D136)),NOT(ISNUMBER(E136))),"Complete required fields",IF(COUNTIFS($A$7:$A$506,A136)&gt;1,"Duplicate ID",IF(COUNTIFS('Accounts'!$A$7:$A$26,C136,'Accounts'!$B$7:$B$26,D136)&lt;&gt;1,"Check account/currency",IF(OR(I136&lt;0,J136&lt;0,AND(I136&gt;0,J136&gt;0),AND(I136=0,J136=0)),"Check amounts",IF(OR(AND(E136="Income",J136&gt;0),AND(E136="Expense",I136&gt;0),AND(E136="Transfer in",J136&gt;0),AND(E136="Transfer out",I136&gt;0)),"Check type/direction",IF(AND(OR(E136="Transfer in",E136="Transfer out"),M136=""),"Add transfer pair ID",IF(AND(OR(E136="Transfer in",E136="Transfer out"),COUNTIFS($M$7:$M$506,M136,$D$7:$D$506,D136)&lt;&gt;2),"Check transfer pair",IF(AND(E136="Expense",K136=""),"Assign budget fund",IF(AND(E136="Expense",L136=""),"Add receipt / proof",""))))))))))</x:f>
      </x:c>
    </x:row>
    <x:row r="137" ht="24" customHeight="1">
      <x:c r="A137" s="10"/>
      <x:c r="B137" s="5"/>
      <x:c r="C137" s="10"/>
      <x:c r="D137" s="10"/>
      <x:c r="E137" s="10"/>
      <x:c r="F137" s="10"/>
      <x:c r="G137" s="10"/>
      <x:c r="H137" s="10"/>
      <x:c r="I137" s="11"/>
      <x:c r="J137" s="11"/>
      <x:c r="K137" s="10"/>
      <x:c r="L137" s="10"/>
      <x:c r="M137" s="10"/>
      <x:c r="N137" s="10"/>
      <x:c r="O137" s="1" t="str">
        <x:f>IF(COUNTA(A137:N137)=0,"",IF(OR(A137="",B137="",C137="",NOT(ISNUMBER(D137)),NOT(ISNUMBER(E137))),"Complete required fields",IF(COUNTIFS($A$7:$A$506,A137)&gt;1,"Duplicate ID",IF(COUNTIFS('Accounts'!$A$7:$A$26,C137,'Accounts'!$B$7:$B$26,D137)&lt;&gt;1,"Check account/currency",IF(OR(I137&lt;0,J137&lt;0,AND(I137&gt;0,J137&gt;0),AND(I137=0,J137=0)),"Check amounts",IF(OR(AND(E137="Income",J137&gt;0),AND(E137="Expense",I137&gt;0),AND(E137="Transfer in",J137&gt;0),AND(E137="Transfer out",I137&gt;0)),"Check type/direction",IF(AND(OR(E137="Transfer in",E137="Transfer out"),M137=""),"Add transfer pair ID",IF(AND(OR(E137="Transfer in",E137="Transfer out"),COUNTIFS($M$7:$M$506,M137,$D$7:$D$506,D137)&lt;&gt;2),"Check transfer pair",IF(AND(E137="Expense",K137=""),"Assign budget fund",IF(AND(E137="Expense",L137=""),"Add receipt / proof",""))))))))))</x:f>
      </x:c>
    </x:row>
    <x:row r="138" ht="24" customHeight="1">
      <x:c r="A138" s="10"/>
      <x:c r="B138" s="5"/>
      <x:c r="C138" s="10"/>
      <x:c r="D138" s="10"/>
      <x:c r="E138" s="10"/>
      <x:c r="F138" s="10"/>
      <x:c r="G138" s="10"/>
      <x:c r="H138" s="10"/>
      <x:c r="I138" s="11"/>
      <x:c r="J138" s="11"/>
      <x:c r="K138" s="10"/>
      <x:c r="L138" s="10"/>
      <x:c r="M138" s="10"/>
      <x:c r="N138" s="10"/>
      <x:c r="O138" s="1" t="str">
        <x:f>IF(COUNTA(A138:N138)=0,"",IF(OR(A138="",B138="",C138="",NOT(ISNUMBER(D138)),NOT(ISNUMBER(E138))),"Complete required fields",IF(COUNTIFS($A$7:$A$506,A138)&gt;1,"Duplicate ID",IF(COUNTIFS('Accounts'!$A$7:$A$26,C138,'Accounts'!$B$7:$B$26,D138)&lt;&gt;1,"Check account/currency",IF(OR(I138&lt;0,J138&lt;0,AND(I138&gt;0,J138&gt;0),AND(I138=0,J138=0)),"Check amounts",IF(OR(AND(E138="Income",J138&gt;0),AND(E138="Expense",I138&gt;0),AND(E138="Transfer in",J138&gt;0),AND(E138="Transfer out",I138&gt;0)),"Check type/direction",IF(AND(OR(E138="Transfer in",E138="Transfer out"),M138=""),"Add transfer pair ID",IF(AND(OR(E138="Transfer in",E138="Transfer out"),COUNTIFS($M$7:$M$506,M138,$D$7:$D$506,D138)&lt;&gt;2),"Check transfer pair",IF(AND(E138="Expense",K138=""),"Assign budget fund",IF(AND(E138="Expense",L138=""),"Add receipt / proof",""))))))))))</x:f>
      </x:c>
    </x:row>
    <x:row r="139" ht="24" customHeight="1">
      <x:c r="A139" s="10"/>
      <x:c r="B139" s="5"/>
      <x:c r="C139" s="10"/>
      <x:c r="D139" s="10"/>
      <x:c r="E139" s="10"/>
      <x:c r="F139" s="10"/>
      <x:c r="G139" s="10"/>
      <x:c r="H139" s="10"/>
      <x:c r="I139" s="11"/>
      <x:c r="J139" s="11"/>
      <x:c r="K139" s="10"/>
      <x:c r="L139" s="10"/>
      <x:c r="M139" s="10"/>
      <x:c r="N139" s="10"/>
      <x:c r="O139" s="1" t="str">
        <x:f>IF(COUNTA(A139:N139)=0,"",IF(OR(A139="",B139="",C139="",NOT(ISNUMBER(D139)),NOT(ISNUMBER(E139))),"Complete required fields",IF(COUNTIFS($A$7:$A$506,A139)&gt;1,"Duplicate ID",IF(COUNTIFS('Accounts'!$A$7:$A$26,C139,'Accounts'!$B$7:$B$26,D139)&lt;&gt;1,"Check account/currency",IF(OR(I139&lt;0,J139&lt;0,AND(I139&gt;0,J139&gt;0),AND(I139=0,J139=0)),"Check amounts",IF(OR(AND(E139="Income",J139&gt;0),AND(E139="Expense",I139&gt;0),AND(E139="Transfer in",J139&gt;0),AND(E139="Transfer out",I139&gt;0)),"Check type/direction",IF(AND(OR(E139="Transfer in",E139="Transfer out"),M139=""),"Add transfer pair ID",IF(AND(OR(E139="Transfer in",E139="Transfer out"),COUNTIFS($M$7:$M$506,M139,$D$7:$D$506,D139)&lt;&gt;2),"Check transfer pair",IF(AND(E139="Expense",K139=""),"Assign budget fund",IF(AND(E139="Expense",L139=""),"Add receipt / proof",""))))))))))</x:f>
      </x:c>
    </x:row>
    <x:row r="140" ht="24" customHeight="1">
      <x:c r="A140" s="10"/>
      <x:c r="B140" s="5"/>
      <x:c r="C140" s="10"/>
      <x:c r="D140" s="10"/>
      <x:c r="E140" s="10"/>
      <x:c r="F140" s="10"/>
      <x:c r="G140" s="10"/>
      <x:c r="H140" s="10"/>
      <x:c r="I140" s="11"/>
      <x:c r="J140" s="11"/>
      <x:c r="K140" s="10"/>
      <x:c r="L140" s="10"/>
      <x:c r="M140" s="10"/>
      <x:c r="N140" s="10"/>
      <x:c r="O140" s="1" t="str">
        <x:f>IF(COUNTA(A140:N140)=0,"",IF(OR(A140="",B140="",C140="",NOT(ISNUMBER(D140)),NOT(ISNUMBER(E140))),"Complete required fields",IF(COUNTIFS($A$7:$A$506,A140)&gt;1,"Duplicate ID",IF(COUNTIFS('Accounts'!$A$7:$A$26,C140,'Accounts'!$B$7:$B$26,D140)&lt;&gt;1,"Check account/currency",IF(OR(I140&lt;0,J140&lt;0,AND(I140&gt;0,J140&gt;0),AND(I140=0,J140=0)),"Check amounts",IF(OR(AND(E140="Income",J140&gt;0),AND(E140="Expense",I140&gt;0),AND(E140="Transfer in",J140&gt;0),AND(E140="Transfer out",I140&gt;0)),"Check type/direction",IF(AND(OR(E140="Transfer in",E140="Transfer out"),M140=""),"Add transfer pair ID",IF(AND(OR(E140="Transfer in",E140="Transfer out"),COUNTIFS($M$7:$M$506,M140,$D$7:$D$506,D140)&lt;&gt;2),"Check transfer pair",IF(AND(E140="Expense",K140=""),"Assign budget fund",IF(AND(E140="Expense",L140=""),"Add receipt / proof",""))))))))))</x:f>
      </x:c>
    </x:row>
    <x:row r="141" ht="24" customHeight="1">
      <x:c r="A141" s="10"/>
      <x:c r="B141" s="5"/>
      <x:c r="C141" s="10"/>
      <x:c r="D141" s="10"/>
      <x:c r="E141" s="10"/>
      <x:c r="F141" s="10"/>
      <x:c r="G141" s="10"/>
      <x:c r="H141" s="10"/>
      <x:c r="I141" s="11"/>
      <x:c r="J141" s="11"/>
      <x:c r="K141" s="10"/>
      <x:c r="L141" s="10"/>
      <x:c r="M141" s="10"/>
      <x:c r="N141" s="10"/>
      <x:c r="O141" s="1" t="str">
        <x:f>IF(COUNTA(A141:N141)=0,"",IF(OR(A141="",B141="",C141="",NOT(ISNUMBER(D141)),NOT(ISNUMBER(E141))),"Complete required fields",IF(COUNTIFS($A$7:$A$506,A141)&gt;1,"Duplicate ID",IF(COUNTIFS('Accounts'!$A$7:$A$26,C141,'Accounts'!$B$7:$B$26,D141)&lt;&gt;1,"Check account/currency",IF(OR(I141&lt;0,J141&lt;0,AND(I141&gt;0,J141&gt;0),AND(I141=0,J141=0)),"Check amounts",IF(OR(AND(E141="Income",J141&gt;0),AND(E141="Expense",I141&gt;0),AND(E141="Transfer in",J141&gt;0),AND(E141="Transfer out",I141&gt;0)),"Check type/direction",IF(AND(OR(E141="Transfer in",E141="Transfer out"),M141=""),"Add transfer pair ID",IF(AND(OR(E141="Transfer in",E141="Transfer out"),COUNTIFS($M$7:$M$506,M141,$D$7:$D$506,D141)&lt;&gt;2),"Check transfer pair",IF(AND(E141="Expense",K141=""),"Assign budget fund",IF(AND(E141="Expense",L141=""),"Add receipt / proof",""))))))))))</x:f>
      </x:c>
    </x:row>
    <x:row r="142" ht="24" customHeight="1">
      <x:c r="A142" s="10"/>
      <x:c r="B142" s="5"/>
      <x:c r="C142" s="10"/>
      <x:c r="D142" s="10"/>
      <x:c r="E142" s="10"/>
      <x:c r="F142" s="10"/>
      <x:c r="G142" s="10"/>
      <x:c r="H142" s="10"/>
      <x:c r="I142" s="11"/>
      <x:c r="J142" s="11"/>
      <x:c r="K142" s="10"/>
      <x:c r="L142" s="10"/>
      <x:c r="M142" s="10"/>
      <x:c r="N142" s="10"/>
      <x:c r="O142" s="1" t="str">
        <x:f>IF(COUNTA(A142:N142)=0,"",IF(OR(A142="",B142="",C142="",NOT(ISNUMBER(D142)),NOT(ISNUMBER(E142))),"Complete required fields",IF(COUNTIFS($A$7:$A$506,A142)&gt;1,"Duplicate ID",IF(COUNTIFS('Accounts'!$A$7:$A$26,C142,'Accounts'!$B$7:$B$26,D142)&lt;&gt;1,"Check account/currency",IF(OR(I142&lt;0,J142&lt;0,AND(I142&gt;0,J142&gt;0),AND(I142=0,J142=0)),"Check amounts",IF(OR(AND(E142="Income",J142&gt;0),AND(E142="Expense",I142&gt;0),AND(E142="Transfer in",J142&gt;0),AND(E142="Transfer out",I142&gt;0)),"Check type/direction",IF(AND(OR(E142="Transfer in",E142="Transfer out"),M142=""),"Add transfer pair ID",IF(AND(OR(E142="Transfer in",E142="Transfer out"),COUNTIFS($M$7:$M$506,M142,$D$7:$D$506,D142)&lt;&gt;2),"Check transfer pair",IF(AND(E142="Expense",K142=""),"Assign budget fund",IF(AND(E142="Expense",L142=""),"Add receipt / proof",""))))))))))</x:f>
      </x:c>
    </x:row>
    <x:row r="143" ht="24" customHeight="1">
      <x:c r="A143" s="10"/>
      <x:c r="B143" s="5"/>
      <x:c r="C143" s="10"/>
      <x:c r="D143" s="10"/>
      <x:c r="E143" s="10"/>
      <x:c r="F143" s="10"/>
      <x:c r="G143" s="10"/>
      <x:c r="H143" s="10"/>
      <x:c r="I143" s="11"/>
      <x:c r="J143" s="11"/>
      <x:c r="K143" s="10"/>
      <x:c r="L143" s="10"/>
      <x:c r="M143" s="10"/>
      <x:c r="N143" s="10"/>
      <x:c r="O143" s="1" t="str">
        <x:f>IF(COUNTA(A143:N143)=0,"",IF(OR(A143="",B143="",C143="",NOT(ISNUMBER(D143)),NOT(ISNUMBER(E143))),"Complete required fields",IF(COUNTIFS($A$7:$A$506,A143)&gt;1,"Duplicate ID",IF(COUNTIFS('Accounts'!$A$7:$A$26,C143,'Accounts'!$B$7:$B$26,D143)&lt;&gt;1,"Check account/currency",IF(OR(I143&lt;0,J143&lt;0,AND(I143&gt;0,J143&gt;0),AND(I143=0,J143=0)),"Check amounts",IF(OR(AND(E143="Income",J143&gt;0),AND(E143="Expense",I143&gt;0),AND(E143="Transfer in",J143&gt;0),AND(E143="Transfer out",I143&gt;0)),"Check type/direction",IF(AND(OR(E143="Transfer in",E143="Transfer out"),M143=""),"Add transfer pair ID",IF(AND(OR(E143="Transfer in",E143="Transfer out"),COUNTIFS($M$7:$M$506,M143,$D$7:$D$506,D143)&lt;&gt;2),"Check transfer pair",IF(AND(E143="Expense",K143=""),"Assign budget fund",IF(AND(E143="Expense",L143=""),"Add receipt / proof",""))))))))))</x:f>
      </x:c>
    </x:row>
    <x:row r="144" ht="24" customHeight="1">
      <x:c r="A144" s="10"/>
      <x:c r="B144" s="5"/>
      <x:c r="C144" s="10"/>
      <x:c r="D144" s="10"/>
      <x:c r="E144" s="10"/>
      <x:c r="F144" s="10"/>
      <x:c r="G144" s="10"/>
      <x:c r="H144" s="10"/>
      <x:c r="I144" s="11"/>
      <x:c r="J144" s="11"/>
      <x:c r="K144" s="10"/>
      <x:c r="L144" s="10"/>
      <x:c r="M144" s="10"/>
      <x:c r="N144" s="10"/>
      <x:c r="O144" s="1" t="str">
        <x:f>IF(COUNTA(A144:N144)=0,"",IF(OR(A144="",B144="",C144="",NOT(ISNUMBER(D144)),NOT(ISNUMBER(E144))),"Complete required fields",IF(COUNTIFS($A$7:$A$506,A144)&gt;1,"Duplicate ID",IF(COUNTIFS('Accounts'!$A$7:$A$26,C144,'Accounts'!$B$7:$B$26,D144)&lt;&gt;1,"Check account/currency",IF(OR(I144&lt;0,J144&lt;0,AND(I144&gt;0,J144&gt;0),AND(I144=0,J144=0)),"Check amounts",IF(OR(AND(E144="Income",J144&gt;0),AND(E144="Expense",I144&gt;0),AND(E144="Transfer in",J144&gt;0),AND(E144="Transfer out",I144&gt;0)),"Check type/direction",IF(AND(OR(E144="Transfer in",E144="Transfer out"),M144=""),"Add transfer pair ID",IF(AND(OR(E144="Transfer in",E144="Transfer out"),COUNTIFS($M$7:$M$506,M144,$D$7:$D$506,D144)&lt;&gt;2),"Check transfer pair",IF(AND(E144="Expense",K144=""),"Assign budget fund",IF(AND(E144="Expense",L144=""),"Add receipt / proof",""))))))))))</x:f>
      </x:c>
    </x:row>
    <x:row r="145" ht="24" customHeight="1">
      <x:c r="A145" s="10"/>
      <x:c r="B145" s="5"/>
      <x:c r="C145" s="10"/>
      <x:c r="D145" s="10"/>
      <x:c r="E145" s="10"/>
      <x:c r="F145" s="10"/>
      <x:c r="G145" s="10"/>
      <x:c r="H145" s="10"/>
      <x:c r="I145" s="11"/>
      <x:c r="J145" s="11"/>
      <x:c r="K145" s="10"/>
      <x:c r="L145" s="10"/>
      <x:c r="M145" s="10"/>
      <x:c r="N145" s="10"/>
      <x:c r="O145" s="1" t="str">
        <x:f>IF(COUNTA(A145:N145)=0,"",IF(OR(A145="",B145="",C145="",NOT(ISNUMBER(D145)),NOT(ISNUMBER(E145))),"Complete required fields",IF(COUNTIFS($A$7:$A$506,A145)&gt;1,"Duplicate ID",IF(COUNTIFS('Accounts'!$A$7:$A$26,C145,'Accounts'!$B$7:$B$26,D145)&lt;&gt;1,"Check account/currency",IF(OR(I145&lt;0,J145&lt;0,AND(I145&gt;0,J145&gt;0),AND(I145=0,J145=0)),"Check amounts",IF(OR(AND(E145="Income",J145&gt;0),AND(E145="Expense",I145&gt;0),AND(E145="Transfer in",J145&gt;0),AND(E145="Transfer out",I145&gt;0)),"Check type/direction",IF(AND(OR(E145="Transfer in",E145="Transfer out"),M145=""),"Add transfer pair ID",IF(AND(OR(E145="Transfer in",E145="Transfer out"),COUNTIFS($M$7:$M$506,M145,$D$7:$D$506,D145)&lt;&gt;2),"Check transfer pair",IF(AND(E145="Expense",K145=""),"Assign budget fund",IF(AND(E145="Expense",L145=""),"Add receipt / proof",""))))))))))</x:f>
      </x:c>
    </x:row>
    <x:row r="146" ht="24" customHeight="1">
      <x:c r="A146" s="10"/>
      <x:c r="B146" s="5"/>
      <x:c r="C146" s="10"/>
      <x:c r="D146" s="10"/>
      <x:c r="E146" s="10"/>
      <x:c r="F146" s="10"/>
      <x:c r="G146" s="10"/>
      <x:c r="H146" s="10"/>
      <x:c r="I146" s="11"/>
      <x:c r="J146" s="11"/>
      <x:c r="K146" s="10"/>
      <x:c r="L146" s="10"/>
      <x:c r="M146" s="10"/>
      <x:c r="N146" s="10"/>
      <x:c r="O146" s="1" t="str">
        <x:f>IF(COUNTA(A146:N146)=0,"",IF(OR(A146="",B146="",C146="",NOT(ISNUMBER(D146)),NOT(ISNUMBER(E146))),"Complete required fields",IF(COUNTIFS($A$7:$A$506,A146)&gt;1,"Duplicate ID",IF(COUNTIFS('Accounts'!$A$7:$A$26,C146,'Accounts'!$B$7:$B$26,D146)&lt;&gt;1,"Check account/currency",IF(OR(I146&lt;0,J146&lt;0,AND(I146&gt;0,J146&gt;0),AND(I146=0,J146=0)),"Check amounts",IF(OR(AND(E146="Income",J146&gt;0),AND(E146="Expense",I146&gt;0),AND(E146="Transfer in",J146&gt;0),AND(E146="Transfer out",I146&gt;0)),"Check type/direction",IF(AND(OR(E146="Transfer in",E146="Transfer out"),M146=""),"Add transfer pair ID",IF(AND(OR(E146="Transfer in",E146="Transfer out"),COUNTIFS($M$7:$M$506,M146,$D$7:$D$506,D146)&lt;&gt;2),"Check transfer pair",IF(AND(E146="Expense",K146=""),"Assign budget fund",IF(AND(E146="Expense",L146=""),"Add receipt / proof",""))))))))))</x:f>
      </x:c>
    </x:row>
    <x:row r="147" ht="24" customHeight="1">
      <x:c r="A147" s="10"/>
      <x:c r="B147" s="5"/>
      <x:c r="C147" s="10"/>
      <x:c r="D147" s="10"/>
      <x:c r="E147" s="10"/>
      <x:c r="F147" s="10"/>
      <x:c r="G147" s="10"/>
      <x:c r="H147" s="10"/>
      <x:c r="I147" s="11"/>
      <x:c r="J147" s="11"/>
      <x:c r="K147" s="10"/>
      <x:c r="L147" s="10"/>
      <x:c r="M147" s="10"/>
      <x:c r="N147" s="10"/>
      <x:c r="O147" s="1" t="str">
        <x:f>IF(COUNTA(A147:N147)=0,"",IF(OR(A147="",B147="",C147="",NOT(ISNUMBER(D147)),NOT(ISNUMBER(E147))),"Complete required fields",IF(COUNTIFS($A$7:$A$506,A147)&gt;1,"Duplicate ID",IF(COUNTIFS('Accounts'!$A$7:$A$26,C147,'Accounts'!$B$7:$B$26,D147)&lt;&gt;1,"Check account/currency",IF(OR(I147&lt;0,J147&lt;0,AND(I147&gt;0,J147&gt;0),AND(I147=0,J147=0)),"Check amounts",IF(OR(AND(E147="Income",J147&gt;0),AND(E147="Expense",I147&gt;0),AND(E147="Transfer in",J147&gt;0),AND(E147="Transfer out",I147&gt;0)),"Check type/direction",IF(AND(OR(E147="Transfer in",E147="Transfer out"),M147=""),"Add transfer pair ID",IF(AND(OR(E147="Transfer in",E147="Transfer out"),COUNTIFS($M$7:$M$506,M147,$D$7:$D$506,D147)&lt;&gt;2),"Check transfer pair",IF(AND(E147="Expense",K147=""),"Assign budget fund",IF(AND(E147="Expense",L147=""),"Add receipt / proof",""))))))))))</x:f>
      </x:c>
    </x:row>
    <x:row r="148" ht="24" customHeight="1">
      <x:c r="A148" s="10"/>
      <x:c r="B148" s="5"/>
      <x:c r="C148" s="10"/>
      <x:c r="D148" s="10"/>
      <x:c r="E148" s="10"/>
      <x:c r="F148" s="10"/>
      <x:c r="G148" s="10"/>
      <x:c r="H148" s="10"/>
      <x:c r="I148" s="11"/>
      <x:c r="J148" s="11"/>
      <x:c r="K148" s="10"/>
      <x:c r="L148" s="10"/>
      <x:c r="M148" s="10"/>
      <x:c r="N148" s="10"/>
      <x:c r="O148" s="1" t="str">
        <x:f>IF(COUNTA(A148:N148)=0,"",IF(OR(A148="",B148="",C148="",NOT(ISNUMBER(D148)),NOT(ISNUMBER(E148))),"Complete required fields",IF(COUNTIFS($A$7:$A$506,A148)&gt;1,"Duplicate ID",IF(COUNTIFS('Accounts'!$A$7:$A$26,C148,'Accounts'!$B$7:$B$26,D148)&lt;&gt;1,"Check account/currency",IF(OR(I148&lt;0,J148&lt;0,AND(I148&gt;0,J148&gt;0),AND(I148=0,J148=0)),"Check amounts",IF(OR(AND(E148="Income",J148&gt;0),AND(E148="Expense",I148&gt;0),AND(E148="Transfer in",J148&gt;0),AND(E148="Transfer out",I148&gt;0)),"Check type/direction",IF(AND(OR(E148="Transfer in",E148="Transfer out"),M148=""),"Add transfer pair ID",IF(AND(OR(E148="Transfer in",E148="Transfer out"),COUNTIFS($M$7:$M$506,M148,$D$7:$D$506,D148)&lt;&gt;2),"Check transfer pair",IF(AND(E148="Expense",K148=""),"Assign budget fund",IF(AND(E148="Expense",L148=""),"Add receipt / proof",""))))))))))</x:f>
      </x:c>
    </x:row>
    <x:row r="149" ht="24" customHeight="1">
      <x:c r="A149" s="10"/>
      <x:c r="B149" s="5"/>
      <x:c r="C149" s="10"/>
      <x:c r="D149" s="10"/>
      <x:c r="E149" s="10"/>
      <x:c r="F149" s="10"/>
      <x:c r="G149" s="10"/>
      <x:c r="H149" s="10"/>
      <x:c r="I149" s="11"/>
      <x:c r="J149" s="11"/>
      <x:c r="K149" s="10"/>
      <x:c r="L149" s="10"/>
      <x:c r="M149" s="10"/>
      <x:c r="N149" s="10"/>
      <x:c r="O149" s="1" t="str">
        <x:f>IF(COUNTA(A149:N149)=0,"",IF(OR(A149="",B149="",C149="",NOT(ISNUMBER(D149)),NOT(ISNUMBER(E149))),"Complete required fields",IF(COUNTIFS($A$7:$A$506,A149)&gt;1,"Duplicate ID",IF(COUNTIFS('Accounts'!$A$7:$A$26,C149,'Accounts'!$B$7:$B$26,D149)&lt;&gt;1,"Check account/currency",IF(OR(I149&lt;0,J149&lt;0,AND(I149&gt;0,J149&gt;0),AND(I149=0,J149=0)),"Check amounts",IF(OR(AND(E149="Income",J149&gt;0),AND(E149="Expense",I149&gt;0),AND(E149="Transfer in",J149&gt;0),AND(E149="Transfer out",I149&gt;0)),"Check type/direction",IF(AND(OR(E149="Transfer in",E149="Transfer out"),M149=""),"Add transfer pair ID",IF(AND(OR(E149="Transfer in",E149="Transfer out"),COUNTIFS($M$7:$M$506,M149,$D$7:$D$506,D149)&lt;&gt;2),"Check transfer pair",IF(AND(E149="Expense",K149=""),"Assign budget fund",IF(AND(E149="Expense",L149=""),"Add receipt / proof",""))))))))))</x:f>
      </x:c>
    </x:row>
    <x:row r="150" ht="24" customHeight="1">
      <x:c r="A150" s="10"/>
      <x:c r="B150" s="5"/>
      <x:c r="C150" s="10"/>
      <x:c r="D150" s="10"/>
      <x:c r="E150" s="10"/>
      <x:c r="F150" s="10"/>
      <x:c r="G150" s="10"/>
      <x:c r="H150" s="10"/>
      <x:c r="I150" s="11"/>
      <x:c r="J150" s="11"/>
      <x:c r="K150" s="10"/>
      <x:c r="L150" s="10"/>
      <x:c r="M150" s="10"/>
      <x:c r="N150" s="10"/>
      <x:c r="O150" s="1" t="str">
        <x:f>IF(COUNTA(A150:N150)=0,"",IF(OR(A150="",B150="",C150="",NOT(ISNUMBER(D150)),NOT(ISNUMBER(E150))),"Complete required fields",IF(COUNTIFS($A$7:$A$506,A150)&gt;1,"Duplicate ID",IF(COUNTIFS('Accounts'!$A$7:$A$26,C150,'Accounts'!$B$7:$B$26,D150)&lt;&gt;1,"Check account/currency",IF(OR(I150&lt;0,J150&lt;0,AND(I150&gt;0,J150&gt;0),AND(I150=0,J150=0)),"Check amounts",IF(OR(AND(E150="Income",J150&gt;0),AND(E150="Expense",I150&gt;0),AND(E150="Transfer in",J150&gt;0),AND(E150="Transfer out",I150&gt;0)),"Check type/direction",IF(AND(OR(E150="Transfer in",E150="Transfer out"),M150=""),"Add transfer pair ID",IF(AND(OR(E150="Transfer in",E150="Transfer out"),COUNTIFS($M$7:$M$506,M150,$D$7:$D$506,D150)&lt;&gt;2),"Check transfer pair",IF(AND(E150="Expense",K150=""),"Assign budget fund",IF(AND(E150="Expense",L150=""),"Add receipt / proof",""))))))))))</x:f>
      </x:c>
    </x:row>
    <x:row r="151" ht="24" customHeight="1">
      <x:c r="A151" s="10"/>
      <x:c r="B151" s="5"/>
      <x:c r="C151" s="10"/>
      <x:c r="D151" s="10"/>
      <x:c r="E151" s="10"/>
      <x:c r="F151" s="10"/>
      <x:c r="G151" s="10"/>
      <x:c r="H151" s="10"/>
      <x:c r="I151" s="11"/>
      <x:c r="J151" s="11"/>
      <x:c r="K151" s="10"/>
      <x:c r="L151" s="10"/>
      <x:c r="M151" s="10"/>
      <x:c r="N151" s="10"/>
      <x:c r="O151" s="1" t="str">
        <x:f>IF(COUNTA(A151:N151)=0,"",IF(OR(A151="",B151="",C151="",NOT(ISNUMBER(D151)),NOT(ISNUMBER(E151))),"Complete required fields",IF(COUNTIFS($A$7:$A$506,A151)&gt;1,"Duplicate ID",IF(COUNTIFS('Accounts'!$A$7:$A$26,C151,'Accounts'!$B$7:$B$26,D151)&lt;&gt;1,"Check account/currency",IF(OR(I151&lt;0,J151&lt;0,AND(I151&gt;0,J151&gt;0),AND(I151=0,J151=0)),"Check amounts",IF(OR(AND(E151="Income",J151&gt;0),AND(E151="Expense",I151&gt;0),AND(E151="Transfer in",J151&gt;0),AND(E151="Transfer out",I151&gt;0)),"Check type/direction",IF(AND(OR(E151="Transfer in",E151="Transfer out"),M151=""),"Add transfer pair ID",IF(AND(OR(E151="Transfer in",E151="Transfer out"),COUNTIFS($M$7:$M$506,M151,$D$7:$D$506,D151)&lt;&gt;2),"Check transfer pair",IF(AND(E151="Expense",K151=""),"Assign budget fund",IF(AND(E151="Expense",L151=""),"Add receipt / proof",""))))))))))</x:f>
      </x:c>
    </x:row>
    <x:row r="152" ht="24" customHeight="1">
      <x:c r="A152" s="10"/>
      <x:c r="B152" s="5"/>
      <x:c r="C152" s="10"/>
      <x:c r="D152" s="10"/>
      <x:c r="E152" s="10"/>
      <x:c r="F152" s="10"/>
      <x:c r="G152" s="10"/>
      <x:c r="H152" s="10"/>
      <x:c r="I152" s="11"/>
      <x:c r="J152" s="11"/>
      <x:c r="K152" s="10"/>
      <x:c r="L152" s="10"/>
      <x:c r="M152" s="10"/>
      <x:c r="N152" s="10"/>
      <x:c r="O152" s="1" t="str">
        <x:f>IF(COUNTA(A152:N152)=0,"",IF(OR(A152="",B152="",C152="",NOT(ISNUMBER(D152)),NOT(ISNUMBER(E152))),"Complete required fields",IF(COUNTIFS($A$7:$A$506,A152)&gt;1,"Duplicate ID",IF(COUNTIFS('Accounts'!$A$7:$A$26,C152,'Accounts'!$B$7:$B$26,D152)&lt;&gt;1,"Check account/currency",IF(OR(I152&lt;0,J152&lt;0,AND(I152&gt;0,J152&gt;0),AND(I152=0,J152=0)),"Check amounts",IF(OR(AND(E152="Income",J152&gt;0),AND(E152="Expense",I152&gt;0),AND(E152="Transfer in",J152&gt;0),AND(E152="Transfer out",I152&gt;0)),"Check type/direction",IF(AND(OR(E152="Transfer in",E152="Transfer out"),M152=""),"Add transfer pair ID",IF(AND(OR(E152="Transfer in",E152="Transfer out"),COUNTIFS($M$7:$M$506,M152,$D$7:$D$506,D152)&lt;&gt;2),"Check transfer pair",IF(AND(E152="Expense",K152=""),"Assign budget fund",IF(AND(E152="Expense",L152=""),"Add receipt / proof",""))))))))))</x:f>
      </x:c>
    </x:row>
    <x:row r="153" ht="24" customHeight="1">
      <x:c r="A153" s="10"/>
      <x:c r="B153" s="5"/>
      <x:c r="C153" s="10"/>
      <x:c r="D153" s="10"/>
      <x:c r="E153" s="10"/>
      <x:c r="F153" s="10"/>
      <x:c r="G153" s="10"/>
      <x:c r="H153" s="10"/>
      <x:c r="I153" s="11"/>
      <x:c r="J153" s="11"/>
      <x:c r="K153" s="10"/>
      <x:c r="L153" s="10"/>
      <x:c r="M153" s="10"/>
      <x:c r="N153" s="10"/>
      <x:c r="O153" s="1" t="str">
        <x:f>IF(COUNTA(A153:N153)=0,"",IF(OR(A153="",B153="",C153="",NOT(ISNUMBER(D153)),NOT(ISNUMBER(E153))),"Complete required fields",IF(COUNTIFS($A$7:$A$506,A153)&gt;1,"Duplicate ID",IF(COUNTIFS('Accounts'!$A$7:$A$26,C153,'Accounts'!$B$7:$B$26,D153)&lt;&gt;1,"Check account/currency",IF(OR(I153&lt;0,J153&lt;0,AND(I153&gt;0,J153&gt;0),AND(I153=0,J153=0)),"Check amounts",IF(OR(AND(E153="Income",J153&gt;0),AND(E153="Expense",I153&gt;0),AND(E153="Transfer in",J153&gt;0),AND(E153="Transfer out",I153&gt;0)),"Check type/direction",IF(AND(OR(E153="Transfer in",E153="Transfer out"),M153=""),"Add transfer pair ID",IF(AND(OR(E153="Transfer in",E153="Transfer out"),COUNTIFS($M$7:$M$506,M153,$D$7:$D$506,D153)&lt;&gt;2),"Check transfer pair",IF(AND(E153="Expense",K153=""),"Assign budget fund",IF(AND(E153="Expense",L153=""),"Add receipt / proof",""))))))))))</x:f>
      </x:c>
    </x:row>
    <x:row r="154" ht="24" customHeight="1">
      <x:c r="A154" s="10"/>
      <x:c r="B154" s="5"/>
      <x:c r="C154" s="10"/>
      <x:c r="D154" s="10"/>
      <x:c r="E154" s="10"/>
      <x:c r="F154" s="10"/>
      <x:c r="G154" s="10"/>
      <x:c r="H154" s="10"/>
      <x:c r="I154" s="11"/>
      <x:c r="J154" s="11"/>
      <x:c r="K154" s="10"/>
      <x:c r="L154" s="10"/>
      <x:c r="M154" s="10"/>
      <x:c r="N154" s="10"/>
      <x:c r="O154" s="1" t="str">
        <x:f>IF(COUNTA(A154:N154)=0,"",IF(OR(A154="",B154="",C154="",NOT(ISNUMBER(D154)),NOT(ISNUMBER(E154))),"Complete required fields",IF(COUNTIFS($A$7:$A$506,A154)&gt;1,"Duplicate ID",IF(COUNTIFS('Accounts'!$A$7:$A$26,C154,'Accounts'!$B$7:$B$26,D154)&lt;&gt;1,"Check account/currency",IF(OR(I154&lt;0,J154&lt;0,AND(I154&gt;0,J154&gt;0),AND(I154=0,J154=0)),"Check amounts",IF(OR(AND(E154="Income",J154&gt;0),AND(E154="Expense",I154&gt;0),AND(E154="Transfer in",J154&gt;0),AND(E154="Transfer out",I154&gt;0)),"Check type/direction",IF(AND(OR(E154="Transfer in",E154="Transfer out"),M154=""),"Add transfer pair ID",IF(AND(OR(E154="Transfer in",E154="Transfer out"),COUNTIFS($M$7:$M$506,M154,$D$7:$D$506,D154)&lt;&gt;2),"Check transfer pair",IF(AND(E154="Expense",K154=""),"Assign budget fund",IF(AND(E154="Expense",L154=""),"Add receipt / proof",""))))))))))</x:f>
      </x:c>
    </x:row>
    <x:row r="155" ht="24" customHeight="1">
      <x:c r="A155" s="10"/>
      <x:c r="B155" s="5"/>
      <x:c r="C155" s="10"/>
      <x:c r="D155" s="10"/>
      <x:c r="E155" s="10"/>
      <x:c r="F155" s="10"/>
      <x:c r="G155" s="10"/>
      <x:c r="H155" s="10"/>
      <x:c r="I155" s="11"/>
      <x:c r="J155" s="11"/>
      <x:c r="K155" s="10"/>
      <x:c r="L155" s="10"/>
      <x:c r="M155" s="10"/>
      <x:c r="N155" s="10"/>
      <x:c r="O155" s="1" t="str">
        <x:f>IF(COUNTA(A155:N155)=0,"",IF(OR(A155="",B155="",C155="",NOT(ISNUMBER(D155)),NOT(ISNUMBER(E155))),"Complete required fields",IF(COUNTIFS($A$7:$A$506,A155)&gt;1,"Duplicate ID",IF(COUNTIFS('Accounts'!$A$7:$A$26,C155,'Accounts'!$B$7:$B$26,D155)&lt;&gt;1,"Check account/currency",IF(OR(I155&lt;0,J155&lt;0,AND(I155&gt;0,J155&gt;0),AND(I155=0,J155=0)),"Check amounts",IF(OR(AND(E155="Income",J155&gt;0),AND(E155="Expense",I155&gt;0),AND(E155="Transfer in",J155&gt;0),AND(E155="Transfer out",I155&gt;0)),"Check type/direction",IF(AND(OR(E155="Transfer in",E155="Transfer out"),M155=""),"Add transfer pair ID",IF(AND(OR(E155="Transfer in",E155="Transfer out"),COUNTIFS($M$7:$M$506,M155,$D$7:$D$506,D155)&lt;&gt;2),"Check transfer pair",IF(AND(E155="Expense",K155=""),"Assign budget fund",IF(AND(E155="Expense",L155=""),"Add receipt / proof",""))))))))))</x:f>
      </x:c>
    </x:row>
    <x:row r="156" ht="24" customHeight="1">
      <x:c r="A156" s="10"/>
      <x:c r="B156" s="5"/>
      <x:c r="C156" s="10"/>
      <x:c r="D156" s="10"/>
      <x:c r="E156" s="10"/>
      <x:c r="F156" s="10"/>
      <x:c r="G156" s="10"/>
      <x:c r="H156" s="10"/>
      <x:c r="I156" s="11"/>
      <x:c r="J156" s="11"/>
      <x:c r="K156" s="10"/>
      <x:c r="L156" s="10"/>
      <x:c r="M156" s="10"/>
      <x:c r="N156" s="10"/>
      <x:c r="O156" s="1" t="str">
        <x:f>IF(COUNTA(A156:N156)=0,"",IF(OR(A156="",B156="",C156="",NOT(ISNUMBER(D156)),NOT(ISNUMBER(E156))),"Complete required fields",IF(COUNTIFS($A$7:$A$506,A156)&gt;1,"Duplicate ID",IF(COUNTIFS('Accounts'!$A$7:$A$26,C156,'Accounts'!$B$7:$B$26,D156)&lt;&gt;1,"Check account/currency",IF(OR(I156&lt;0,J156&lt;0,AND(I156&gt;0,J156&gt;0),AND(I156=0,J156=0)),"Check amounts",IF(OR(AND(E156="Income",J156&gt;0),AND(E156="Expense",I156&gt;0),AND(E156="Transfer in",J156&gt;0),AND(E156="Transfer out",I156&gt;0)),"Check type/direction",IF(AND(OR(E156="Transfer in",E156="Transfer out"),M156=""),"Add transfer pair ID",IF(AND(OR(E156="Transfer in",E156="Transfer out"),COUNTIFS($M$7:$M$506,M156,$D$7:$D$506,D156)&lt;&gt;2),"Check transfer pair",IF(AND(E156="Expense",K156=""),"Assign budget fund",IF(AND(E156="Expense",L156=""),"Add receipt / proof",""))))))))))</x:f>
      </x:c>
    </x:row>
    <x:row r="157" ht="24" customHeight="1">
      <x:c r="A157" s="10"/>
      <x:c r="B157" s="5"/>
      <x:c r="C157" s="10"/>
      <x:c r="D157" s="10"/>
      <x:c r="E157" s="10"/>
      <x:c r="F157" s="10"/>
      <x:c r="G157" s="10"/>
      <x:c r="H157" s="10"/>
      <x:c r="I157" s="11"/>
      <x:c r="J157" s="11"/>
      <x:c r="K157" s="10"/>
      <x:c r="L157" s="10"/>
      <x:c r="M157" s="10"/>
      <x:c r="N157" s="10"/>
      <x:c r="O157" s="1" t="str">
        <x:f>IF(COUNTA(A157:N157)=0,"",IF(OR(A157="",B157="",C157="",NOT(ISNUMBER(D157)),NOT(ISNUMBER(E157))),"Complete required fields",IF(COUNTIFS($A$7:$A$506,A157)&gt;1,"Duplicate ID",IF(COUNTIFS('Accounts'!$A$7:$A$26,C157,'Accounts'!$B$7:$B$26,D157)&lt;&gt;1,"Check account/currency",IF(OR(I157&lt;0,J157&lt;0,AND(I157&gt;0,J157&gt;0),AND(I157=0,J157=0)),"Check amounts",IF(OR(AND(E157="Income",J157&gt;0),AND(E157="Expense",I157&gt;0),AND(E157="Transfer in",J157&gt;0),AND(E157="Transfer out",I157&gt;0)),"Check type/direction",IF(AND(OR(E157="Transfer in",E157="Transfer out"),M157=""),"Add transfer pair ID",IF(AND(OR(E157="Transfer in",E157="Transfer out"),COUNTIFS($M$7:$M$506,M157,$D$7:$D$506,D157)&lt;&gt;2),"Check transfer pair",IF(AND(E157="Expense",K157=""),"Assign budget fund",IF(AND(E157="Expense",L157=""),"Add receipt / proof",""))))))))))</x:f>
      </x:c>
    </x:row>
    <x:row r="158" ht="24" customHeight="1">
      <x:c r="A158" s="10"/>
      <x:c r="B158" s="5"/>
      <x:c r="C158" s="10"/>
      <x:c r="D158" s="10"/>
      <x:c r="E158" s="10"/>
      <x:c r="F158" s="10"/>
      <x:c r="G158" s="10"/>
      <x:c r="H158" s="10"/>
      <x:c r="I158" s="11"/>
      <x:c r="J158" s="11"/>
      <x:c r="K158" s="10"/>
      <x:c r="L158" s="10"/>
      <x:c r="M158" s="10"/>
      <x:c r="N158" s="10"/>
      <x:c r="O158" s="1" t="str">
        <x:f>IF(COUNTA(A158:N158)=0,"",IF(OR(A158="",B158="",C158="",NOT(ISNUMBER(D158)),NOT(ISNUMBER(E158))),"Complete required fields",IF(COUNTIFS($A$7:$A$506,A158)&gt;1,"Duplicate ID",IF(COUNTIFS('Accounts'!$A$7:$A$26,C158,'Accounts'!$B$7:$B$26,D158)&lt;&gt;1,"Check account/currency",IF(OR(I158&lt;0,J158&lt;0,AND(I158&gt;0,J158&gt;0),AND(I158=0,J158=0)),"Check amounts",IF(OR(AND(E158="Income",J158&gt;0),AND(E158="Expense",I158&gt;0),AND(E158="Transfer in",J158&gt;0),AND(E158="Transfer out",I158&gt;0)),"Check type/direction",IF(AND(OR(E158="Transfer in",E158="Transfer out"),M158=""),"Add transfer pair ID",IF(AND(OR(E158="Transfer in",E158="Transfer out"),COUNTIFS($M$7:$M$506,M158,$D$7:$D$506,D158)&lt;&gt;2),"Check transfer pair",IF(AND(E158="Expense",K158=""),"Assign budget fund",IF(AND(E158="Expense",L158=""),"Add receipt / proof",""))))))))))</x:f>
      </x:c>
    </x:row>
    <x:row r="159" ht="24" customHeight="1">
      <x:c r="A159" s="10"/>
      <x:c r="B159" s="5"/>
      <x:c r="C159" s="10"/>
      <x:c r="D159" s="10"/>
      <x:c r="E159" s="10"/>
      <x:c r="F159" s="10"/>
      <x:c r="G159" s="10"/>
      <x:c r="H159" s="10"/>
      <x:c r="I159" s="11"/>
      <x:c r="J159" s="11"/>
      <x:c r="K159" s="10"/>
      <x:c r="L159" s="10"/>
      <x:c r="M159" s="10"/>
      <x:c r="N159" s="10"/>
      <x:c r="O159" s="1" t="str">
        <x:f>IF(COUNTA(A159:N159)=0,"",IF(OR(A159="",B159="",C159="",NOT(ISNUMBER(D159)),NOT(ISNUMBER(E159))),"Complete required fields",IF(COUNTIFS($A$7:$A$506,A159)&gt;1,"Duplicate ID",IF(COUNTIFS('Accounts'!$A$7:$A$26,C159,'Accounts'!$B$7:$B$26,D159)&lt;&gt;1,"Check account/currency",IF(OR(I159&lt;0,J159&lt;0,AND(I159&gt;0,J159&gt;0),AND(I159=0,J159=0)),"Check amounts",IF(OR(AND(E159="Income",J159&gt;0),AND(E159="Expense",I159&gt;0),AND(E159="Transfer in",J159&gt;0),AND(E159="Transfer out",I159&gt;0)),"Check type/direction",IF(AND(OR(E159="Transfer in",E159="Transfer out"),M159=""),"Add transfer pair ID",IF(AND(OR(E159="Transfer in",E159="Transfer out"),COUNTIFS($M$7:$M$506,M159,$D$7:$D$506,D159)&lt;&gt;2),"Check transfer pair",IF(AND(E159="Expense",K159=""),"Assign budget fund",IF(AND(E159="Expense",L159=""),"Add receipt / proof",""))))))))))</x:f>
      </x:c>
    </x:row>
    <x:row r="160" ht="24" customHeight="1">
      <x:c r="A160" s="10"/>
      <x:c r="B160" s="5"/>
      <x:c r="C160" s="10"/>
      <x:c r="D160" s="10"/>
      <x:c r="E160" s="10"/>
      <x:c r="F160" s="10"/>
      <x:c r="G160" s="10"/>
      <x:c r="H160" s="10"/>
      <x:c r="I160" s="11"/>
      <x:c r="J160" s="11"/>
      <x:c r="K160" s="10"/>
      <x:c r="L160" s="10"/>
      <x:c r="M160" s="10"/>
      <x:c r="N160" s="10"/>
      <x:c r="O160" s="1" t="str">
        <x:f>IF(COUNTA(A160:N160)=0,"",IF(OR(A160="",B160="",C160="",NOT(ISNUMBER(D160)),NOT(ISNUMBER(E160))),"Complete required fields",IF(COUNTIFS($A$7:$A$506,A160)&gt;1,"Duplicate ID",IF(COUNTIFS('Accounts'!$A$7:$A$26,C160,'Accounts'!$B$7:$B$26,D160)&lt;&gt;1,"Check account/currency",IF(OR(I160&lt;0,J160&lt;0,AND(I160&gt;0,J160&gt;0),AND(I160=0,J160=0)),"Check amounts",IF(OR(AND(E160="Income",J160&gt;0),AND(E160="Expense",I160&gt;0),AND(E160="Transfer in",J160&gt;0),AND(E160="Transfer out",I160&gt;0)),"Check type/direction",IF(AND(OR(E160="Transfer in",E160="Transfer out"),M160=""),"Add transfer pair ID",IF(AND(OR(E160="Transfer in",E160="Transfer out"),COUNTIFS($M$7:$M$506,M160,$D$7:$D$506,D160)&lt;&gt;2),"Check transfer pair",IF(AND(E160="Expense",K160=""),"Assign budget fund",IF(AND(E160="Expense",L160=""),"Add receipt / proof",""))))))))))</x:f>
      </x:c>
    </x:row>
    <x:row r="161" ht="24" customHeight="1">
      <x:c r="A161" s="10"/>
      <x:c r="B161" s="5"/>
      <x:c r="C161" s="10"/>
      <x:c r="D161" s="10"/>
      <x:c r="E161" s="10"/>
      <x:c r="F161" s="10"/>
      <x:c r="G161" s="10"/>
      <x:c r="H161" s="10"/>
      <x:c r="I161" s="11"/>
      <x:c r="J161" s="11"/>
      <x:c r="K161" s="10"/>
      <x:c r="L161" s="10"/>
      <x:c r="M161" s="10"/>
      <x:c r="N161" s="10"/>
      <x:c r="O161" s="1" t="str">
        <x:f>IF(COUNTA(A161:N161)=0,"",IF(OR(A161="",B161="",C161="",NOT(ISNUMBER(D161)),NOT(ISNUMBER(E161))),"Complete required fields",IF(COUNTIFS($A$7:$A$506,A161)&gt;1,"Duplicate ID",IF(COUNTIFS('Accounts'!$A$7:$A$26,C161,'Accounts'!$B$7:$B$26,D161)&lt;&gt;1,"Check account/currency",IF(OR(I161&lt;0,J161&lt;0,AND(I161&gt;0,J161&gt;0),AND(I161=0,J161=0)),"Check amounts",IF(OR(AND(E161="Income",J161&gt;0),AND(E161="Expense",I161&gt;0),AND(E161="Transfer in",J161&gt;0),AND(E161="Transfer out",I161&gt;0)),"Check type/direction",IF(AND(OR(E161="Transfer in",E161="Transfer out"),M161=""),"Add transfer pair ID",IF(AND(OR(E161="Transfer in",E161="Transfer out"),COUNTIFS($M$7:$M$506,M161,$D$7:$D$506,D161)&lt;&gt;2),"Check transfer pair",IF(AND(E161="Expense",K161=""),"Assign budget fund",IF(AND(E161="Expense",L161=""),"Add receipt / proof",""))))))))))</x:f>
      </x:c>
    </x:row>
    <x:row r="162" ht="24" customHeight="1">
      <x:c r="A162" s="10"/>
      <x:c r="B162" s="5"/>
      <x:c r="C162" s="10"/>
      <x:c r="D162" s="10"/>
      <x:c r="E162" s="10"/>
      <x:c r="F162" s="10"/>
      <x:c r="G162" s="10"/>
      <x:c r="H162" s="10"/>
      <x:c r="I162" s="11"/>
      <x:c r="J162" s="11"/>
      <x:c r="K162" s="10"/>
      <x:c r="L162" s="10"/>
      <x:c r="M162" s="10"/>
      <x:c r="N162" s="10"/>
      <x:c r="O162" s="1" t="str">
        <x:f>IF(COUNTA(A162:N162)=0,"",IF(OR(A162="",B162="",C162="",NOT(ISNUMBER(D162)),NOT(ISNUMBER(E162))),"Complete required fields",IF(COUNTIFS($A$7:$A$506,A162)&gt;1,"Duplicate ID",IF(COUNTIFS('Accounts'!$A$7:$A$26,C162,'Accounts'!$B$7:$B$26,D162)&lt;&gt;1,"Check account/currency",IF(OR(I162&lt;0,J162&lt;0,AND(I162&gt;0,J162&gt;0),AND(I162=0,J162=0)),"Check amounts",IF(OR(AND(E162="Income",J162&gt;0),AND(E162="Expense",I162&gt;0),AND(E162="Transfer in",J162&gt;0),AND(E162="Transfer out",I162&gt;0)),"Check type/direction",IF(AND(OR(E162="Transfer in",E162="Transfer out"),M162=""),"Add transfer pair ID",IF(AND(OR(E162="Transfer in",E162="Transfer out"),COUNTIFS($M$7:$M$506,M162,$D$7:$D$506,D162)&lt;&gt;2),"Check transfer pair",IF(AND(E162="Expense",K162=""),"Assign budget fund",IF(AND(E162="Expense",L162=""),"Add receipt / proof",""))))))))))</x:f>
      </x:c>
    </x:row>
    <x:row r="163" ht="24" customHeight="1">
      <x:c r="A163" s="10"/>
      <x:c r="B163" s="5"/>
      <x:c r="C163" s="10"/>
      <x:c r="D163" s="10"/>
      <x:c r="E163" s="10"/>
      <x:c r="F163" s="10"/>
      <x:c r="G163" s="10"/>
      <x:c r="H163" s="10"/>
      <x:c r="I163" s="11"/>
      <x:c r="J163" s="11"/>
      <x:c r="K163" s="10"/>
      <x:c r="L163" s="10"/>
      <x:c r="M163" s="10"/>
      <x:c r="N163" s="10"/>
      <x:c r="O163" s="1" t="str">
        <x:f>IF(COUNTA(A163:N163)=0,"",IF(OR(A163="",B163="",C163="",NOT(ISNUMBER(D163)),NOT(ISNUMBER(E163))),"Complete required fields",IF(COUNTIFS($A$7:$A$506,A163)&gt;1,"Duplicate ID",IF(COUNTIFS('Accounts'!$A$7:$A$26,C163,'Accounts'!$B$7:$B$26,D163)&lt;&gt;1,"Check account/currency",IF(OR(I163&lt;0,J163&lt;0,AND(I163&gt;0,J163&gt;0),AND(I163=0,J163=0)),"Check amounts",IF(OR(AND(E163="Income",J163&gt;0),AND(E163="Expense",I163&gt;0),AND(E163="Transfer in",J163&gt;0),AND(E163="Transfer out",I163&gt;0)),"Check type/direction",IF(AND(OR(E163="Transfer in",E163="Transfer out"),M163=""),"Add transfer pair ID",IF(AND(OR(E163="Transfer in",E163="Transfer out"),COUNTIFS($M$7:$M$506,M163,$D$7:$D$506,D163)&lt;&gt;2),"Check transfer pair",IF(AND(E163="Expense",K163=""),"Assign budget fund",IF(AND(E163="Expense",L163=""),"Add receipt / proof",""))))))))))</x:f>
      </x:c>
    </x:row>
    <x:row r="164" ht="24" customHeight="1">
      <x:c r="A164" s="10"/>
      <x:c r="B164" s="5"/>
      <x:c r="C164" s="10"/>
      <x:c r="D164" s="10"/>
      <x:c r="E164" s="10"/>
      <x:c r="F164" s="10"/>
      <x:c r="G164" s="10"/>
      <x:c r="H164" s="10"/>
      <x:c r="I164" s="11"/>
      <x:c r="J164" s="11"/>
      <x:c r="K164" s="10"/>
      <x:c r="L164" s="10"/>
      <x:c r="M164" s="10"/>
      <x:c r="N164" s="10"/>
      <x:c r="O164" s="1" t="str">
        <x:f>IF(COUNTA(A164:N164)=0,"",IF(OR(A164="",B164="",C164="",NOT(ISNUMBER(D164)),NOT(ISNUMBER(E164))),"Complete required fields",IF(COUNTIFS($A$7:$A$506,A164)&gt;1,"Duplicate ID",IF(COUNTIFS('Accounts'!$A$7:$A$26,C164,'Accounts'!$B$7:$B$26,D164)&lt;&gt;1,"Check account/currency",IF(OR(I164&lt;0,J164&lt;0,AND(I164&gt;0,J164&gt;0),AND(I164=0,J164=0)),"Check amounts",IF(OR(AND(E164="Income",J164&gt;0),AND(E164="Expense",I164&gt;0),AND(E164="Transfer in",J164&gt;0),AND(E164="Transfer out",I164&gt;0)),"Check type/direction",IF(AND(OR(E164="Transfer in",E164="Transfer out"),M164=""),"Add transfer pair ID",IF(AND(OR(E164="Transfer in",E164="Transfer out"),COUNTIFS($M$7:$M$506,M164,$D$7:$D$506,D164)&lt;&gt;2),"Check transfer pair",IF(AND(E164="Expense",K164=""),"Assign budget fund",IF(AND(E164="Expense",L164=""),"Add receipt / proof",""))))))))))</x:f>
      </x:c>
    </x:row>
    <x:row r="165" ht="24" customHeight="1">
      <x:c r="A165" s="10"/>
      <x:c r="B165" s="5"/>
      <x:c r="C165" s="10"/>
      <x:c r="D165" s="10"/>
      <x:c r="E165" s="10"/>
      <x:c r="F165" s="10"/>
      <x:c r="G165" s="10"/>
      <x:c r="H165" s="10"/>
      <x:c r="I165" s="11"/>
      <x:c r="J165" s="11"/>
      <x:c r="K165" s="10"/>
      <x:c r="L165" s="10"/>
      <x:c r="M165" s="10"/>
      <x:c r="N165" s="10"/>
      <x:c r="O165" s="1" t="str">
        <x:f>IF(COUNTA(A165:N165)=0,"",IF(OR(A165="",B165="",C165="",NOT(ISNUMBER(D165)),NOT(ISNUMBER(E165))),"Complete required fields",IF(COUNTIFS($A$7:$A$506,A165)&gt;1,"Duplicate ID",IF(COUNTIFS('Accounts'!$A$7:$A$26,C165,'Accounts'!$B$7:$B$26,D165)&lt;&gt;1,"Check account/currency",IF(OR(I165&lt;0,J165&lt;0,AND(I165&gt;0,J165&gt;0),AND(I165=0,J165=0)),"Check amounts",IF(OR(AND(E165="Income",J165&gt;0),AND(E165="Expense",I165&gt;0),AND(E165="Transfer in",J165&gt;0),AND(E165="Transfer out",I165&gt;0)),"Check type/direction",IF(AND(OR(E165="Transfer in",E165="Transfer out"),M165=""),"Add transfer pair ID",IF(AND(OR(E165="Transfer in",E165="Transfer out"),COUNTIFS($M$7:$M$506,M165,$D$7:$D$506,D165)&lt;&gt;2),"Check transfer pair",IF(AND(E165="Expense",K165=""),"Assign budget fund",IF(AND(E165="Expense",L165=""),"Add receipt / proof",""))))))))))</x:f>
      </x:c>
    </x:row>
    <x:row r="166" ht="24" customHeight="1">
      <x:c r="A166" s="10"/>
      <x:c r="B166" s="5"/>
      <x:c r="C166" s="10"/>
      <x:c r="D166" s="10"/>
      <x:c r="E166" s="10"/>
      <x:c r="F166" s="10"/>
      <x:c r="G166" s="10"/>
      <x:c r="H166" s="10"/>
      <x:c r="I166" s="11"/>
      <x:c r="J166" s="11"/>
      <x:c r="K166" s="10"/>
      <x:c r="L166" s="10"/>
      <x:c r="M166" s="10"/>
      <x:c r="N166" s="10"/>
      <x:c r="O166" s="1" t="str">
        <x:f>IF(COUNTA(A166:N166)=0,"",IF(OR(A166="",B166="",C166="",NOT(ISNUMBER(D166)),NOT(ISNUMBER(E166))),"Complete required fields",IF(COUNTIFS($A$7:$A$506,A166)&gt;1,"Duplicate ID",IF(COUNTIFS('Accounts'!$A$7:$A$26,C166,'Accounts'!$B$7:$B$26,D166)&lt;&gt;1,"Check account/currency",IF(OR(I166&lt;0,J166&lt;0,AND(I166&gt;0,J166&gt;0),AND(I166=0,J166=0)),"Check amounts",IF(OR(AND(E166="Income",J166&gt;0),AND(E166="Expense",I166&gt;0),AND(E166="Transfer in",J166&gt;0),AND(E166="Transfer out",I166&gt;0)),"Check type/direction",IF(AND(OR(E166="Transfer in",E166="Transfer out"),M166=""),"Add transfer pair ID",IF(AND(OR(E166="Transfer in",E166="Transfer out"),COUNTIFS($M$7:$M$506,M166,$D$7:$D$506,D166)&lt;&gt;2),"Check transfer pair",IF(AND(E166="Expense",K166=""),"Assign budget fund",IF(AND(E166="Expense",L166=""),"Add receipt / proof",""))))))))))</x:f>
      </x:c>
    </x:row>
    <x:row r="167" ht="24" customHeight="1">
      <x:c r="A167" s="10"/>
      <x:c r="B167" s="5"/>
      <x:c r="C167" s="10"/>
      <x:c r="D167" s="10"/>
      <x:c r="E167" s="10"/>
      <x:c r="F167" s="10"/>
      <x:c r="G167" s="10"/>
      <x:c r="H167" s="10"/>
      <x:c r="I167" s="11"/>
      <x:c r="J167" s="11"/>
      <x:c r="K167" s="10"/>
      <x:c r="L167" s="10"/>
      <x:c r="M167" s="10"/>
      <x:c r="N167" s="10"/>
      <x:c r="O167" s="1" t="str">
        <x:f>IF(COUNTA(A167:N167)=0,"",IF(OR(A167="",B167="",C167="",NOT(ISNUMBER(D167)),NOT(ISNUMBER(E167))),"Complete required fields",IF(COUNTIFS($A$7:$A$506,A167)&gt;1,"Duplicate ID",IF(COUNTIFS('Accounts'!$A$7:$A$26,C167,'Accounts'!$B$7:$B$26,D167)&lt;&gt;1,"Check account/currency",IF(OR(I167&lt;0,J167&lt;0,AND(I167&gt;0,J167&gt;0),AND(I167=0,J167=0)),"Check amounts",IF(OR(AND(E167="Income",J167&gt;0),AND(E167="Expense",I167&gt;0),AND(E167="Transfer in",J167&gt;0),AND(E167="Transfer out",I167&gt;0)),"Check type/direction",IF(AND(OR(E167="Transfer in",E167="Transfer out"),M167=""),"Add transfer pair ID",IF(AND(OR(E167="Transfer in",E167="Transfer out"),COUNTIFS($M$7:$M$506,M167,$D$7:$D$506,D167)&lt;&gt;2),"Check transfer pair",IF(AND(E167="Expense",K167=""),"Assign budget fund",IF(AND(E167="Expense",L167=""),"Add receipt / proof",""))))))))))</x:f>
      </x:c>
    </x:row>
    <x:row r="168" ht="24" customHeight="1">
      <x:c r="A168" s="10"/>
      <x:c r="B168" s="5"/>
      <x:c r="C168" s="10"/>
      <x:c r="D168" s="10"/>
      <x:c r="E168" s="10"/>
      <x:c r="F168" s="10"/>
      <x:c r="G168" s="10"/>
      <x:c r="H168" s="10"/>
      <x:c r="I168" s="11"/>
      <x:c r="J168" s="11"/>
      <x:c r="K168" s="10"/>
      <x:c r="L168" s="10"/>
      <x:c r="M168" s="10"/>
      <x:c r="N168" s="10"/>
      <x:c r="O168" s="1" t="str">
        <x:f>IF(COUNTA(A168:N168)=0,"",IF(OR(A168="",B168="",C168="",NOT(ISNUMBER(D168)),NOT(ISNUMBER(E168))),"Complete required fields",IF(COUNTIFS($A$7:$A$506,A168)&gt;1,"Duplicate ID",IF(COUNTIFS('Accounts'!$A$7:$A$26,C168,'Accounts'!$B$7:$B$26,D168)&lt;&gt;1,"Check account/currency",IF(OR(I168&lt;0,J168&lt;0,AND(I168&gt;0,J168&gt;0),AND(I168=0,J168=0)),"Check amounts",IF(OR(AND(E168="Income",J168&gt;0),AND(E168="Expense",I168&gt;0),AND(E168="Transfer in",J168&gt;0),AND(E168="Transfer out",I168&gt;0)),"Check type/direction",IF(AND(OR(E168="Transfer in",E168="Transfer out"),M168=""),"Add transfer pair ID",IF(AND(OR(E168="Transfer in",E168="Transfer out"),COUNTIFS($M$7:$M$506,M168,$D$7:$D$506,D168)&lt;&gt;2),"Check transfer pair",IF(AND(E168="Expense",K168=""),"Assign budget fund",IF(AND(E168="Expense",L168=""),"Add receipt / proof",""))))))))))</x:f>
      </x:c>
    </x:row>
    <x:row r="169" ht="24" customHeight="1">
      <x:c r="A169" s="10"/>
      <x:c r="B169" s="5"/>
      <x:c r="C169" s="10"/>
      <x:c r="D169" s="10"/>
      <x:c r="E169" s="10"/>
      <x:c r="F169" s="10"/>
      <x:c r="G169" s="10"/>
      <x:c r="H169" s="10"/>
      <x:c r="I169" s="11"/>
      <x:c r="J169" s="11"/>
      <x:c r="K169" s="10"/>
      <x:c r="L169" s="10"/>
      <x:c r="M169" s="10"/>
      <x:c r="N169" s="10"/>
      <x:c r="O169" s="1" t="str">
        <x:f>IF(COUNTA(A169:N169)=0,"",IF(OR(A169="",B169="",C169="",NOT(ISNUMBER(D169)),NOT(ISNUMBER(E169))),"Complete required fields",IF(COUNTIFS($A$7:$A$506,A169)&gt;1,"Duplicate ID",IF(COUNTIFS('Accounts'!$A$7:$A$26,C169,'Accounts'!$B$7:$B$26,D169)&lt;&gt;1,"Check account/currency",IF(OR(I169&lt;0,J169&lt;0,AND(I169&gt;0,J169&gt;0),AND(I169=0,J169=0)),"Check amounts",IF(OR(AND(E169="Income",J169&gt;0),AND(E169="Expense",I169&gt;0),AND(E169="Transfer in",J169&gt;0),AND(E169="Transfer out",I169&gt;0)),"Check type/direction",IF(AND(OR(E169="Transfer in",E169="Transfer out"),M169=""),"Add transfer pair ID",IF(AND(OR(E169="Transfer in",E169="Transfer out"),COUNTIFS($M$7:$M$506,M169,$D$7:$D$506,D169)&lt;&gt;2),"Check transfer pair",IF(AND(E169="Expense",K169=""),"Assign budget fund",IF(AND(E169="Expense",L169=""),"Add receipt / proof",""))))))))))</x:f>
      </x:c>
    </x:row>
    <x:row r="170" ht="24" customHeight="1">
      <x:c r="A170" s="10"/>
      <x:c r="B170" s="5"/>
      <x:c r="C170" s="10"/>
      <x:c r="D170" s="10"/>
      <x:c r="E170" s="10"/>
      <x:c r="F170" s="10"/>
      <x:c r="G170" s="10"/>
      <x:c r="H170" s="10"/>
      <x:c r="I170" s="11"/>
      <x:c r="J170" s="11"/>
      <x:c r="K170" s="10"/>
      <x:c r="L170" s="10"/>
      <x:c r="M170" s="10"/>
      <x:c r="N170" s="10"/>
      <x:c r="O170" s="1" t="str">
        <x:f>IF(COUNTA(A170:N170)=0,"",IF(OR(A170="",B170="",C170="",NOT(ISNUMBER(D170)),NOT(ISNUMBER(E170))),"Complete required fields",IF(COUNTIFS($A$7:$A$506,A170)&gt;1,"Duplicate ID",IF(COUNTIFS('Accounts'!$A$7:$A$26,C170,'Accounts'!$B$7:$B$26,D170)&lt;&gt;1,"Check account/currency",IF(OR(I170&lt;0,J170&lt;0,AND(I170&gt;0,J170&gt;0),AND(I170=0,J170=0)),"Check amounts",IF(OR(AND(E170="Income",J170&gt;0),AND(E170="Expense",I170&gt;0),AND(E170="Transfer in",J170&gt;0),AND(E170="Transfer out",I170&gt;0)),"Check type/direction",IF(AND(OR(E170="Transfer in",E170="Transfer out"),M170=""),"Add transfer pair ID",IF(AND(OR(E170="Transfer in",E170="Transfer out"),COUNTIFS($M$7:$M$506,M170,$D$7:$D$506,D170)&lt;&gt;2),"Check transfer pair",IF(AND(E170="Expense",K170=""),"Assign budget fund",IF(AND(E170="Expense",L170=""),"Add receipt / proof",""))))))))))</x:f>
      </x:c>
    </x:row>
    <x:row r="171" ht="24" customHeight="1">
      <x:c r="A171" s="10"/>
      <x:c r="B171" s="5"/>
      <x:c r="C171" s="10"/>
      <x:c r="D171" s="10"/>
      <x:c r="E171" s="10"/>
      <x:c r="F171" s="10"/>
      <x:c r="G171" s="10"/>
      <x:c r="H171" s="10"/>
      <x:c r="I171" s="11"/>
      <x:c r="J171" s="11"/>
      <x:c r="K171" s="10"/>
      <x:c r="L171" s="10"/>
      <x:c r="M171" s="10"/>
      <x:c r="N171" s="10"/>
      <x:c r="O171" s="1" t="str">
        <x:f>IF(COUNTA(A171:N171)=0,"",IF(OR(A171="",B171="",C171="",NOT(ISNUMBER(D171)),NOT(ISNUMBER(E171))),"Complete required fields",IF(COUNTIFS($A$7:$A$506,A171)&gt;1,"Duplicate ID",IF(COUNTIFS('Accounts'!$A$7:$A$26,C171,'Accounts'!$B$7:$B$26,D171)&lt;&gt;1,"Check account/currency",IF(OR(I171&lt;0,J171&lt;0,AND(I171&gt;0,J171&gt;0),AND(I171=0,J171=0)),"Check amounts",IF(OR(AND(E171="Income",J171&gt;0),AND(E171="Expense",I171&gt;0),AND(E171="Transfer in",J171&gt;0),AND(E171="Transfer out",I171&gt;0)),"Check type/direction",IF(AND(OR(E171="Transfer in",E171="Transfer out"),M171=""),"Add transfer pair ID",IF(AND(OR(E171="Transfer in",E171="Transfer out"),COUNTIFS($M$7:$M$506,M171,$D$7:$D$506,D171)&lt;&gt;2),"Check transfer pair",IF(AND(E171="Expense",K171=""),"Assign budget fund",IF(AND(E171="Expense",L171=""),"Add receipt / proof",""))))))))))</x:f>
      </x:c>
    </x:row>
    <x:row r="172" ht="24" customHeight="1">
      <x:c r="A172" s="10"/>
      <x:c r="B172" s="5"/>
      <x:c r="C172" s="10"/>
      <x:c r="D172" s="10"/>
      <x:c r="E172" s="10"/>
      <x:c r="F172" s="10"/>
      <x:c r="G172" s="10"/>
      <x:c r="H172" s="10"/>
      <x:c r="I172" s="11"/>
      <x:c r="J172" s="11"/>
      <x:c r="K172" s="10"/>
      <x:c r="L172" s="10"/>
      <x:c r="M172" s="10"/>
      <x:c r="N172" s="10"/>
      <x:c r="O172" s="1" t="str">
        <x:f>IF(COUNTA(A172:N172)=0,"",IF(OR(A172="",B172="",C172="",NOT(ISNUMBER(D172)),NOT(ISNUMBER(E172))),"Complete required fields",IF(COUNTIFS($A$7:$A$506,A172)&gt;1,"Duplicate ID",IF(COUNTIFS('Accounts'!$A$7:$A$26,C172,'Accounts'!$B$7:$B$26,D172)&lt;&gt;1,"Check account/currency",IF(OR(I172&lt;0,J172&lt;0,AND(I172&gt;0,J172&gt;0),AND(I172=0,J172=0)),"Check amounts",IF(OR(AND(E172="Income",J172&gt;0),AND(E172="Expense",I172&gt;0),AND(E172="Transfer in",J172&gt;0),AND(E172="Transfer out",I172&gt;0)),"Check type/direction",IF(AND(OR(E172="Transfer in",E172="Transfer out"),M172=""),"Add transfer pair ID",IF(AND(OR(E172="Transfer in",E172="Transfer out"),COUNTIFS($M$7:$M$506,M172,$D$7:$D$506,D172)&lt;&gt;2),"Check transfer pair",IF(AND(E172="Expense",K172=""),"Assign budget fund",IF(AND(E172="Expense",L172=""),"Add receipt / proof",""))))))))))</x:f>
      </x:c>
    </x:row>
    <x:row r="173" ht="24" customHeight="1">
      <x:c r="A173" s="10"/>
      <x:c r="B173" s="5"/>
      <x:c r="C173" s="10"/>
      <x:c r="D173" s="10"/>
      <x:c r="E173" s="10"/>
      <x:c r="F173" s="10"/>
      <x:c r="G173" s="10"/>
      <x:c r="H173" s="10"/>
      <x:c r="I173" s="11"/>
      <x:c r="J173" s="11"/>
      <x:c r="K173" s="10"/>
      <x:c r="L173" s="10"/>
      <x:c r="M173" s="10"/>
      <x:c r="N173" s="10"/>
      <x:c r="O173" s="1" t="str">
        <x:f>IF(COUNTA(A173:N173)=0,"",IF(OR(A173="",B173="",C173="",NOT(ISNUMBER(D173)),NOT(ISNUMBER(E173))),"Complete required fields",IF(COUNTIFS($A$7:$A$506,A173)&gt;1,"Duplicate ID",IF(COUNTIFS('Accounts'!$A$7:$A$26,C173,'Accounts'!$B$7:$B$26,D173)&lt;&gt;1,"Check account/currency",IF(OR(I173&lt;0,J173&lt;0,AND(I173&gt;0,J173&gt;0),AND(I173=0,J173=0)),"Check amounts",IF(OR(AND(E173="Income",J173&gt;0),AND(E173="Expense",I173&gt;0),AND(E173="Transfer in",J173&gt;0),AND(E173="Transfer out",I173&gt;0)),"Check type/direction",IF(AND(OR(E173="Transfer in",E173="Transfer out"),M173=""),"Add transfer pair ID",IF(AND(OR(E173="Transfer in",E173="Transfer out"),COUNTIFS($M$7:$M$506,M173,$D$7:$D$506,D173)&lt;&gt;2),"Check transfer pair",IF(AND(E173="Expense",K173=""),"Assign budget fund",IF(AND(E173="Expense",L173=""),"Add receipt / proof",""))))))))))</x:f>
      </x:c>
    </x:row>
    <x:row r="174" ht="24" customHeight="1">
      <x:c r="A174" s="10"/>
      <x:c r="B174" s="5"/>
      <x:c r="C174" s="10"/>
      <x:c r="D174" s="10"/>
      <x:c r="E174" s="10"/>
      <x:c r="F174" s="10"/>
      <x:c r="G174" s="10"/>
      <x:c r="H174" s="10"/>
      <x:c r="I174" s="11"/>
      <x:c r="J174" s="11"/>
      <x:c r="K174" s="10"/>
      <x:c r="L174" s="10"/>
      <x:c r="M174" s="10"/>
      <x:c r="N174" s="10"/>
      <x:c r="O174" s="1" t="str">
        <x:f>IF(COUNTA(A174:N174)=0,"",IF(OR(A174="",B174="",C174="",NOT(ISNUMBER(D174)),NOT(ISNUMBER(E174))),"Complete required fields",IF(COUNTIFS($A$7:$A$506,A174)&gt;1,"Duplicate ID",IF(COUNTIFS('Accounts'!$A$7:$A$26,C174,'Accounts'!$B$7:$B$26,D174)&lt;&gt;1,"Check account/currency",IF(OR(I174&lt;0,J174&lt;0,AND(I174&gt;0,J174&gt;0),AND(I174=0,J174=0)),"Check amounts",IF(OR(AND(E174="Income",J174&gt;0),AND(E174="Expense",I174&gt;0),AND(E174="Transfer in",J174&gt;0),AND(E174="Transfer out",I174&gt;0)),"Check type/direction",IF(AND(OR(E174="Transfer in",E174="Transfer out"),M174=""),"Add transfer pair ID",IF(AND(OR(E174="Transfer in",E174="Transfer out"),COUNTIFS($M$7:$M$506,M174,$D$7:$D$506,D174)&lt;&gt;2),"Check transfer pair",IF(AND(E174="Expense",K174=""),"Assign budget fund",IF(AND(E174="Expense",L174=""),"Add receipt / proof",""))))))))))</x:f>
      </x:c>
    </x:row>
    <x:row r="175" ht="24" customHeight="1">
      <x:c r="A175" s="10"/>
      <x:c r="B175" s="5"/>
      <x:c r="C175" s="10"/>
      <x:c r="D175" s="10"/>
      <x:c r="E175" s="10"/>
      <x:c r="F175" s="10"/>
      <x:c r="G175" s="10"/>
      <x:c r="H175" s="10"/>
      <x:c r="I175" s="11"/>
      <x:c r="J175" s="11"/>
      <x:c r="K175" s="10"/>
      <x:c r="L175" s="10"/>
      <x:c r="M175" s="10"/>
      <x:c r="N175" s="10"/>
      <x:c r="O175" s="1" t="str">
        <x:f>IF(COUNTA(A175:N175)=0,"",IF(OR(A175="",B175="",C175="",NOT(ISNUMBER(D175)),NOT(ISNUMBER(E175))),"Complete required fields",IF(COUNTIFS($A$7:$A$506,A175)&gt;1,"Duplicate ID",IF(COUNTIFS('Accounts'!$A$7:$A$26,C175,'Accounts'!$B$7:$B$26,D175)&lt;&gt;1,"Check account/currency",IF(OR(I175&lt;0,J175&lt;0,AND(I175&gt;0,J175&gt;0),AND(I175=0,J175=0)),"Check amounts",IF(OR(AND(E175="Income",J175&gt;0),AND(E175="Expense",I175&gt;0),AND(E175="Transfer in",J175&gt;0),AND(E175="Transfer out",I175&gt;0)),"Check type/direction",IF(AND(OR(E175="Transfer in",E175="Transfer out"),M175=""),"Add transfer pair ID",IF(AND(OR(E175="Transfer in",E175="Transfer out"),COUNTIFS($M$7:$M$506,M175,$D$7:$D$506,D175)&lt;&gt;2),"Check transfer pair",IF(AND(E175="Expense",K175=""),"Assign budget fund",IF(AND(E175="Expense",L175=""),"Add receipt / proof",""))))))))))</x:f>
      </x:c>
    </x:row>
    <x:row r="176" ht="24" customHeight="1">
      <x:c r="A176" s="10"/>
      <x:c r="B176" s="5"/>
      <x:c r="C176" s="10"/>
      <x:c r="D176" s="10"/>
      <x:c r="E176" s="10"/>
      <x:c r="F176" s="10"/>
      <x:c r="G176" s="10"/>
      <x:c r="H176" s="10"/>
      <x:c r="I176" s="11"/>
      <x:c r="J176" s="11"/>
      <x:c r="K176" s="10"/>
      <x:c r="L176" s="10"/>
      <x:c r="M176" s="10"/>
      <x:c r="N176" s="10"/>
      <x:c r="O176" s="1" t="str">
        <x:f>IF(COUNTA(A176:N176)=0,"",IF(OR(A176="",B176="",C176="",NOT(ISNUMBER(D176)),NOT(ISNUMBER(E176))),"Complete required fields",IF(COUNTIFS($A$7:$A$506,A176)&gt;1,"Duplicate ID",IF(COUNTIFS('Accounts'!$A$7:$A$26,C176,'Accounts'!$B$7:$B$26,D176)&lt;&gt;1,"Check account/currency",IF(OR(I176&lt;0,J176&lt;0,AND(I176&gt;0,J176&gt;0),AND(I176=0,J176=0)),"Check amounts",IF(OR(AND(E176="Income",J176&gt;0),AND(E176="Expense",I176&gt;0),AND(E176="Transfer in",J176&gt;0),AND(E176="Transfer out",I176&gt;0)),"Check type/direction",IF(AND(OR(E176="Transfer in",E176="Transfer out"),M176=""),"Add transfer pair ID",IF(AND(OR(E176="Transfer in",E176="Transfer out"),COUNTIFS($M$7:$M$506,M176,$D$7:$D$506,D176)&lt;&gt;2),"Check transfer pair",IF(AND(E176="Expense",K176=""),"Assign budget fund",IF(AND(E176="Expense",L176=""),"Add receipt / proof",""))))))))))</x:f>
      </x:c>
    </x:row>
    <x:row r="177" ht="24" customHeight="1">
      <x:c r="A177" s="10"/>
      <x:c r="B177" s="5"/>
      <x:c r="C177" s="10"/>
      <x:c r="D177" s="10"/>
      <x:c r="E177" s="10"/>
      <x:c r="F177" s="10"/>
      <x:c r="G177" s="10"/>
      <x:c r="H177" s="10"/>
      <x:c r="I177" s="11"/>
      <x:c r="J177" s="11"/>
      <x:c r="K177" s="10"/>
      <x:c r="L177" s="10"/>
      <x:c r="M177" s="10"/>
      <x:c r="N177" s="10"/>
      <x:c r="O177" s="1" t="str">
        <x:f>IF(COUNTA(A177:N177)=0,"",IF(OR(A177="",B177="",C177="",NOT(ISNUMBER(D177)),NOT(ISNUMBER(E177))),"Complete required fields",IF(COUNTIFS($A$7:$A$506,A177)&gt;1,"Duplicate ID",IF(COUNTIFS('Accounts'!$A$7:$A$26,C177,'Accounts'!$B$7:$B$26,D177)&lt;&gt;1,"Check account/currency",IF(OR(I177&lt;0,J177&lt;0,AND(I177&gt;0,J177&gt;0),AND(I177=0,J177=0)),"Check amounts",IF(OR(AND(E177="Income",J177&gt;0),AND(E177="Expense",I177&gt;0),AND(E177="Transfer in",J177&gt;0),AND(E177="Transfer out",I177&gt;0)),"Check type/direction",IF(AND(OR(E177="Transfer in",E177="Transfer out"),M177=""),"Add transfer pair ID",IF(AND(OR(E177="Transfer in",E177="Transfer out"),COUNTIFS($M$7:$M$506,M177,$D$7:$D$506,D177)&lt;&gt;2),"Check transfer pair",IF(AND(E177="Expense",K177=""),"Assign budget fund",IF(AND(E177="Expense",L177=""),"Add receipt / proof",""))))))))))</x:f>
      </x:c>
    </x:row>
    <x:row r="178" ht="24" customHeight="1">
      <x:c r="A178" s="10"/>
      <x:c r="B178" s="5"/>
      <x:c r="C178" s="10"/>
      <x:c r="D178" s="10"/>
      <x:c r="E178" s="10"/>
      <x:c r="F178" s="10"/>
      <x:c r="G178" s="10"/>
      <x:c r="H178" s="10"/>
      <x:c r="I178" s="11"/>
      <x:c r="J178" s="11"/>
      <x:c r="K178" s="10"/>
      <x:c r="L178" s="10"/>
      <x:c r="M178" s="10"/>
      <x:c r="N178" s="10"/>
      <x:c r="O178" s="1" t="str">
        <x:f>IF(COUNTA(A178:N178)=0,"",IF(OR(A178="",B178="",C178="",NOT(ISNUMBER(D178)),NOT(ISNUMBER(E178))),"Complete required fields",IF(COUNTIFS($A$7:$A$506,A178)&gt;1,"Duplicate ID",IF(COUNTIFS('Accounts'!$A$7:$A$26,C178,'Accounts'!$B$7:$B$26,D178)&lt;&gt;1,"Check account/currency",IF(OR(I178&lt;0,J178&lt;0,AND(I178&gt;0,J178&gt;0),AND(I178=0,J178=0)),"Check amounts",IF(OR(AND(E178="Income",J178&gt;0),AND(E178="Expense",I178&gt;0),AND(E178="Transfer in",J178&gt;0),AND(E178="Transfer out",I178&gt;0)),"Check type/direction",IF(AND(OR(E178="Transfer in",E178="Transfer out"),M178=""),"Add transfer pair ID",IF(AND(OR(E178="Transfer in",E178="Transfer out"),COUNTIFS($M$7:$M$506,M178,$D$7:$D$506,D178)&lt;&gt;2),"Check transfer pair",IF(AND(E178="Expense",K178=""),"Assign budget fund",IF(AND(E178="Expense",L178=""),"Add receipt / proof",""))))))))))</x:f>
      </x:c>
    </x:row>
    <x:row r="179" ht="24" customHeight="1">
      <x:c r="A179" s="10"/>
      <x:c r="B179" s="5"/>
      <x:c r="C179" s="10"/>
      <x:c r="D179" s="10"/>
      <x:c r="E179" s="10"/>
      <x:c r="F179" s="10"/>
      <x:c r="G179" s="10"/>
      <x:c r="H179" s="10"/>
      <x:c r="I179" s="11"/>
      <x:c r="J179" s="11"/>
      <x:c r="K179" s="10"/>
      <x:c r="L179" s="10"/>
      <x:c r="M179" s="10"/>
      <x:c r="N179" s="10"/>
      <x:c r="O179" s="1" t="str">
        <x:f>IF(COUNTA(A179:N179)=0,"",IF(OR(A179="",B179="",C179="",NOT(ISNUMBER(D179)),NOT(ISNUMBER(E179))),"Complete required fields",IF(COUNTIFS($A$7:$A$506,A179)&gt;1,"Duplicate ID",IF(COUNTIFS('Accounts'!$A$7:$A$26,C179,'Accounts'!$B$7:$B$26,D179)&lt;&gt;1,"Check account/currency",IF(OR(I179&lt;0,J179&lt;0,AND(I179&gt;0,J179&gt;0),AND(I179=0,J179=0)),"Check amounts",IF(OR(AND(E179="Income",J179&gt;0),AND(E179="Expense",I179&gt;0),AND(E179="Transfer in",J179&gt;0),AND(E179="Transfer out",I179&gt;0)),"Check type/direction",IF(AND(OR(E179="Transfer in",E179="Transfer out"),M179=""),"Add transfer pair ID",IF(AND(OR(E179="Transfer in",E179="Transfer out"),COUNTIFS($M$7:$M$506,M179,$D$7:$D$506,D179)&lt;&gt;2),"Check transfer pair",IF(AND(E179="Expense",K179=""),"Assign budget fund",IF(AND(E179="Expense",L179=""),"Add receipt / proof",""))))))))))</x:f>
      </x:c>
    </x:row>
    <x:row r="180" ht="24" customHeight="1">
      <x:c r="A180" s="10"/>
      <x:c r="B180" s="5"/>
      <x:c r="C180" s="10"/>
      <x:c r="D180" s="10"/>
      <x:c r="E180" s="10"/>
      <x:c r="F180" s="10"/>
      <x:c r="G180" s="10"/>
      <x:c r="H180" s="10"/>
      <x:c r="I180" s="11"/>
      <x:c r="J180" s="11"/>
      <x:c r="K180" s="10"/>
      <x:c r="L180" s="10"/>
      <x:c r="M180" s="10"/>
      <x:c r="N180" s="10"/>
      <x:c r="O180" s="1" t="str">
        <x:f>IF(COUNTA(A180:N180)=0,"",IF(OR(A180="",B180="",C180="",NOT(ISNUMBER(D180)),NOT(ISNUMBER(E180))),"Complete required fields",IF(COUNTIFS($A$7:$A$506,A180)&gt;1,"Duplicate ID",IF(COUNTIFS('Accounts'!$A$7:$A$26,C180,'Accounts'!$B$7:$B$26,D180)&lt;&gt;1,"Check account/currency",IF(OR(I180&lt;0,J180&lt;0,AND(I180&gt;0,J180&gt;0),AND(I180=0,J180=0)),"Check amounts",IF(OR(AND(E180="Income",J180&gt;0),AND(E180="Expense",I180&gt;0),AND(E180="Transfer in",J180&gt;0),AND(E180="Transfer out",I180&gt;0)),"Check type/direction",IF(AND(OR(E180="Transfer in",E180="Transfer out"),M180=""),"Add transfer pair ID",IF(AND(OR(E180="Transfer in",E180="Transfer out"),COUNTIFS($M$7:$M$506,M180,$D$7:$D$506,D180)&lt;&gt;2),"Check transfer pair",IF(AND(E180="Expense",K180=""),"Assign budget fund",IF(AND(E180="Expense",L180=""),"Add receipt / proof",""))))))))))</x:f>
      </x:c>
    </x:row>
    <x:row r="181" ht="24" customHeight="1">
      <x:c r="A181" s="10"/>
      <x:c r="B181" s="5"/>
      <x:c r="C181" s="10"/>
      <x:c r="D181" s="10"/>
      <x:c r="E181" s="10"/>
      <x:c r="F181" s="10"/>
      <x:c r="G181" s="10"/>
      <x:c r="H181" s="10"/>
      <x:c r="I181" s="11"/>
      <x:c r="J181" s="11"/>
      <x:c r="K181" s="10"/>
      <x:c r="L181" s="10"/>
      <x:c r="M181" s="10"/>
      <x:c r="N181" s="10"/>
      <x:c r="O181" s="1" t="str">
        <x:f>IF(COUNTA(A181:N181)=0,"",IF(OR(A181="",B181="",C181="",NOT(ISNUMBER(D181)),NOT(ISNUMBER(E181))),"Complete required fields",IF(COUNTIFS($A$7:$A$506,A181)&gt;1,"Duplicate ID",IF(COUNTIFS('Accounts'!$A$7:$A$26,C181,'Accounts'!$B$7:$B$26,D181)&lt;&gt;1,"Check account/currency",IF(OR(I181&lt;0,J181&lt;0,AND(I181&gt;0,J181&gt;0),AND(I181=0,J181=0)),"Check amounts",IF(OR(AND(E181="Income",J181&gt;0),AND(E181="Expense",I181&gt;0),AND(E181="Transfer in",J181&gt;0),AND(E181="Transfer out",I181&gt;0)),"Check type/direction",IF(AND(OR(E181="Transfer in",E181="Transfer out"),M181=""),"Add transfer pair ID",IF(AND(OR(E181="Transfer in",E181="Transfer out"),COUNTIFS($M$7:$M$506,M181,$D$7:$D$506,D181)&lt;&gt;2),"Check transfer pair",IF(AND(E181="Expense",K181=""),"Assign budget fund",IF(AND(E181="Expense",L181=""),"Add receipt / proof",""))))))))))</x:f>
      </x:c>
    </x:row>
    <x:row r="182" ht="24" customHeight="1">
      <x:c r="A182" s="10"/>
      <x:c r="B182" s="5"/>
      <x:c r="C182" s="10"/>
      <x:c r="D182" s="10"/>
      <x:c r="E182" s="10"/>
      <x:c r="F182" s="10"/>
      <x:c r="G182" s="10"/>
      <x:c r="H182" s="10"/>
      <x:c r="I182" s="11"/>
      <x:c r="J182" s="11"/>
      <x:c r="K182" s="10"/>
      <x:c r="L182" s="10"/>
      <x:c r="M182" s="10"/>
      <x:c r="N182" s="10"/>
      <x:c r="O182" s="1" t="str">
        <x:f>IF(COUNTA(A182:N182)=0,"",IF(OR(A182="",B182="",C182="",NOT(ISNUMBER(D182)),NOT(ISNUMBER(E182))),"Complete required fields",IF(COUNTIFS($A$7:$A$506,A182)&gt;1,"Duplicate ID",IF(COUNTIFS('Accounts'!$A$7:$A$26,C182,'Accounts'!$B$7:$B$26,D182)&lt;&gt;1,"Check account/currency",IF(OR(I182&lt;0,J182&lt;0,AND(I182&gt;0,J182&gt;0),AND(I182=0,J182=0)),"Check amounts",IF(OR(AND(E182="Income",J182&gt;0),AND(E182="Expense",I182&gt;0),AND(E182="Transfer in",J182&gt;0),AND(E182="Transfer out",I182&gt;0)),"Check type/direction",IF(AND(OR(E182="Transfer in",E182="Transfer out"),M182=""),"Add transfer pair ID",IF(AND(OR(E182="Transfer in",E182="Transfer out"),COUNTIFS($M$7:$M$506,M182,$D$7:$D$506,D182)&lt;&gt;2),"Check transfer pair",IF(AND(E182="Expense",K182=""),"Assign budget fund",IF(AND(E182="Expense",L182=""),"Add receipt / proof",""))))))))))</x:f>
      </x:c>
    </x:row>
    <x:row r="183" ht="24" customHeight="1">
      <x:c r="A183" s="10"/>
      <x:c r="B183" s="5"/>
      <x:c r="C183" s="10"/>
      <x:c r="D183" s="10"/>
      <x:c r="E183" s="10"/>
      <x:c r="F183" s="10"/>
      <x:c r="G183" s="10"/>
      <x:c r="H183" s="10"/>
      <x:c r="I183" s="11"/>
      <x:c r="J183" s="11"/>
      <x:c r="K183" s="10"/>
      <x:c r="L183" s="10"/>
      <x:c r="M183" s="10"/>
      <x:c r="N183" s="10"/>
      <x:c r="O183" s="1" t="str">
        <x:f>IF(COUNTA(A183:N183)=0,"",IF(OR(A183="",B183="",C183="",NOT(ISNUMBER(D183)),NOT(ISNUMBER(E183))),"Complete required fields",IF(COUNTIFS($A$7:$A$506,A183)&gt;1,"Duplicate ID",IF(COUNTIFS('Accounts'!$A$7:$A$26,C183,'Accounts'!$B$7:$B$26,D183)&lt;&gt;1,"Check account/currency",IF(OR(I183&lt;0,J183&lt;0,AND(I183&gt;0,J183&gt;0),AND(I183=0,J183=0)),"Check amounts",IF(OR(AND(E183="Income",J183&gt;0),AND(E183="Expense",I183&gt;0),AND(E183="Transfer in",J183&gt;0),AND(E183="Transfer out",I183&gt;0)),"Check type/direction",IF(AND(OR(E183="Transfer in",E183="Transfer out"),M183=""),"Add transfer pair ID",IF(AND(OR(E183="Transfer in",E183="Transfer out"),COUNTIFS($M$7:$M$506,M183,$D$7:$D$506,D183)&lt;&gt;2),"Check transfer pair",IF(AND(E183="Expense",K183=""),"Assign budget fund",IF(AND(E183="Expense",L183=""),"Add receipt / proof",""))))))))))</x:f>
      </x:c>
    </x:row>
    <x:row r="184" ht="24" customHeight="1">
      <x:c r="A184" s="10"/>
      <x:c r="B184" s="5"/>
      <x:c r="C184" s="10"/>
      <x:c r="D184" s="10"/>
      <x:c r="E184" s="10"/>
      <x:c r="F184" s="10"/>
      <x:c r="G184" s="10"/>
      <x:c r="H184" s="10"/>
      <x:c r="I184" s="11"/>
      <x:c r="J184" s="11"/>
      <x:c r="K184" s="10"/>
      <x:c r="L184" s="10"/>
      <x:c r="M184" s="10"/>
      <x:c r="N184" s="10"/>
      <x:c r="O184" s="1" t="str">
        <x:f>IF(COUNTA(A184:N184)=0,"",IF(OR(A184="",B184="",C184="",NOT(ISNUMBER(D184)),NOT(ISNUMBER(E184))),"Complete required fields",IF(COUNTIFS($A$7:$A$506,A184)&gt;1,"Duplicate ID",IF(COUNTIFS('Accounts'!$A$7:$A$26,C184,'Accounts'!$B$7:$B$26,D184)&lt;&gt;1,"Check account/currency",IF(OR(I184&lt;0,J184&lt;0,AND(I184&gt;0,J184&gt;0),AND(I184=0,J184=0)),"Check amounts",IF(OR(AND(E184="Income",J184&gt;0),AND(E184="Expense",I184&gt;0),AND(E184="Transfer in",J184&gt;0),AND(E184="Transfer out",I184&gt;0)),"Check type/direction",IF(AND(OR(E184="Transfer in",E184="Transfer out"),M184=""),"Add transfer pair ID",IF(AND(OR(E184="Transfer in",E184="Transfer out"),COUNTIFS($M$7:$M$506,M184,$D$7:$D$506,D184)&lt;&gt;2),"Check transfer pair",IF(AND(E184="Expense",K184=""),"Assign budget fund",IF(AND(E184="Expense",L184=""),"Add receipt / proof",""))))))))))</x:f>
      </x:c>
    </x:row>
    <x:row r="185" ht="24" customHeight="1">
      <x:c r="A185" s="10"/>
      <x:c r="B185" s="5"/>
      <x:c r="C185" s="10"/>
      <x:c r="D185" s="10"/>
      <x:c r="E185" s="10"/>
      <x:c r="F185" s="10"/>
      <x:c r="G185" s="10"/>
      <x:c r="H185" s="10"/>
      <x:c r="I185" s="11"/>
      <x:c r="J185" s="11"/>
      <x:c r="K185" s="10"/>
      <x:c r="L185" s="10"/>
      <x:c r="M185" s="10"/>
      <x:c r="N185" s="10"/>
      <x:c r="O185" s="1" t="str">
        <x:f>IF(COUNTA(A185:N185)=0,"",IF(OR(A185="",B185="",C185="",NOT(ISNUMBER(D185)),NOT(ISNUMBER(E185))),"Complete required fields",IF(COUNTIFS($A$7:$A$506,A185)&gt;1,"Duplicate ID",IF(COUNTIFS('Accounts'!$A$7:$A$26,C185,'Accounts'!$B$7:$B$26,D185)&lt;&gt;1,"Check account/currency",IF(OR(I185&lt;0,J185&lt;0,AND(I185&gt;0,J185&gt;0),AND(I185=0,J185=0)),"Check amounts",IF(OR(AND(E185="Income",J185&gt;0),AND(E185="Expense",I185&gt;0),AND(E185="Transfer in",J185&gt;0),AND(E185="Transfer out",I185&gt;0)),"Check type/direction",IF(AND(OR(E185="Transfer in",E185="Transfer out"),M185=""),"Add transfer pair ID",IF(AND(OR(E185="Transfer in",E185="Transfer out"),COUNTIFS($M$7:$M$506,M185,$D$7:$D$506,D185)&lt;&gt;2),"Check transfer pair",IF(AND(E185="Expense",K185=""),"Assign budget fund",IF(AND(E185="Expense",L185=""),"Add receipt / proof",""))))))))))</x:f>
      </x:c>
    </x:row>
    <x:row r="186" ht="24" customHeight="1">
      <x:c r="A186" s="10"/>
      <x:c r="B186" s="5"/>
      <x:c r="C186" s="10"/>
      <x:c r="D186" s="10"/>
      <x:c r="E186" s="10"/>
      <x:c r="F186" s="10"/>
      <x:c r="G186" s="10"/>
      <x:c r="H186" s="10"/>
      <x:c r="I186" s="11"/>
      <x:c r="J186" s="11"/>
      <x:c r="K186" s="10"/>
      <x:c r="L186" s="10"/>
      <x:c r="M186" s="10"/>
      <x:c r="N186" s="10"/>
      <x:c r="O186" s="1" t="str">
        <x:f>IF(COUNTA(A186:N186)=0,"",IF(OR(A186="",B186="",C186="",NOT(ISNUMBER(D186)),NOT(ISNUMBER(E186))),"Complete required fields",IF(COUNTIFS($A$7:$A$506,A186)&gt;1,"Duplicate ID",IF(COUNTIFS('Accounts'!$A$7:$A$26,C186,'Accounts'!$B$7:$B$26,D186)&lt;&gt;1,"Check account/currency",IF(OR(I186&lt;0,J186&lt;0,AND(I186&gt;0,J186&gt;0),AND(I186=0,J186=0)),"Check amounts",IF(OR(AND(E186="Income",J186&gt;0),AND(E186="Expense",I186&gt;0),AND(E186="Transfer in",J186&gt;0),AND(E186="Transfer out",I186&gt;0)),"Check type/direction",IF(AND(OR(E186="Transfer in",E186="Transfer out"),M186=""),"Add transfer pair ID",IF(AND(OR(E186="Transfer in",E186="Transfer out"),COUNTIFS($M$7:$M$506,M186,$D$7:$D$506,D186)&lt;&gt;2),"Check transfer pair",IF(AND(E186="Expense",K186=""),"Assign budget fund",IF(AND(E186="Expense",L186=""),"Add receipt / proof",""))))))))))</x:f>
      </x:c>
    </x:row>
    <x:row r="187" ht="24" customHeight="1">
      <x:c r="A187" s="10"/>
      <x:c r="B187" s="5"/>
      <x:c r="C187" s="10"/>
      <x:c r="D187" s="10"/>
      <x:c r="E187" s="10"/>
      <x:c r="F187" s="10"/>
      <x:c r="G187" s="10"/>
      <x:c r="H187" s="10"/>
      <x:c r="I187" s="11"/>
      <x:c r="J187" s="11"/>
      <x:c r="K187" s="10"/>
      <x:c r="L187" s="10"/>
      <x:c r="M187" s="10"/>
      <x:c r="N187" s="10"/>
      <x:c r="O187" s="1" t="str">
        <x:f>IF(COUNTA(A187:N187)=0,"",IF(OR(A187="",B187="",C187="",NOT(ISNUMBER(D187)),NOT(ISNUMBER(E187))),"Complete required fields",IF(COUNTIFS($A$7:$A$506,A187)&gt;1,"Duplicate ID",IF(COUNTIFS('Accounts'!$A$7:$A$26,C187,'Accounts'!$B$7:$B$26,D187)&lt;&gt;1,"Check account/currency",IF(OR(I187&lt;0,J187&lt;0,AND(I187&gt;0,J187&gt;0),AND(I187=0,J187=0)),"Check amounts",IF(OR(AND(E187="Income",J187&gt;0),AND(E187="Expense",I187&gt;0),AND(E187="Transfer in",J187&gt;0),AND(E187="Transfer out",I187&gt;0)),"Check type/direction",IF(AND(OR(E187="Transfer in",E187="Transfer out"),M187=""),"Add transfer pair ID",IF(AND(OR(E187="Transfer in",E187="Transfer out"),COUNTIFS($M$7:$M$506,M187,$D$7:$D$506,D187)&lt;&gt;2),"Check transfer pair",IF(AND(E187="Expense",K187=""),"Assign budget fund",IF(AND(E187="Expense",L187=""),"Add receipt / proof",""))))))))))</x:f>
      </x:c>
    </x:row>
    <x:row r="188" ht="24" customHeight="1">
      <x:c r="A188" s="10"/>
      <x:c r="B188" s="5"/>
      <x:c r="C188" s="10"/>
      <x:c r="D188" s="10"/>
      <x:c r="E188" s="10"/>
      <x:c r="F188" s="10"/>
      <x:c r="G188" s="10"/>
      <x:c r="H188" s="10"/>
      <x:c r="I188" s="11"/>
      <x:c r="J188" s="11"/>
      <x:c r="K188" s="10"/>
      <x:c r="L188" s="10"/>
      <x:c r="M188" s="10"/>
      <x:c r="N188" s="10"/>
      <x:c r="O188" s="1" t="str">
        <x:f>IF(COUNTA(A188:N188)=0,"",IF(OR(A188="",B188="",C188="",NOT(ISNUMBER(D188)),NOT(ISNUMBER(E188))),"Complete required fields",IF(COUNTIFS($A$7:$A$506,A188)&gt;1,"Duplicate ID",IF(COUNTIFS('Accounts'!$A$7:$A$26,C188,'Accounts'!$B$7:$B$26,D188)&lt;&gt;1,"Check account/currency",IF(OR(I188&lt;0,J188&lt;0,AND(I188&gt;0,J188&gt;0),AND(I188=0,J188=0)),"Check amounts",IF(OR(AND(E188="Income",J188&gt;0),AND(E188="Expense",I188&gt;0),AND(E188="Transfer in",J188&gt;0),AND(E188="Transfer out",I188&gt;0)),"Check type/direction",IF(AND(OR(E188="Transfer in",E188="Transfer out"),M188=""),"Add transfer pair ID",IF(AND(OR(E188="Transfer in",E188="Transfer out"),COUNTIFS($M$7:$M$506,M188,$D$7:$D$506,D188)&lt;&gt;2),"Check transfer pair",IF(AND(E188="Expense",K188=""),"Assign budget fund",IF(AND(E188="Expense",L188=""),"Add receipt / proof",""))))))))))</x:f>
      </x:c>
    </x:row>
    <x:row r="189" ht="24" customHeight="1">
      <x:c r="A189" s="10"/>
      <x:c r="B189" s="5"/>
      <x:c r="C189" s="10"/>
      <x:c r="D189" s="10"/>
      <x:c r="E189" s="10"/>
      <x:c r="F189" s="10"/>
      <x:c r="G189" s="10"/>
      <x:c r="H189" s="10"/>
      <x:c r="I189" s="11"/>
      <x:c r="J189" s="11"/>
      <x:c r="K189" s="10"/>
      <x:c r="L189" s="10"/>
      <x:c r="M189" s="10"/>
      <x:c r="N189" s="10"/>
      <x:c r="O189" s="1" t="str">
        <x:f>IF(COUNTA(A189:N189)=0,"",IF(OR(A189="",B189="",C189="",NOT(ISNUMBER(D189)),NOT(ISNUMBER(E189))),"Complete required fields",IF(COUNTIFS($A$7:$A$506,A189)&gt;1,"Duplicate ID",IF(COUNTIFS('Accounts'!$A$7:$A$26,C189,'Accounts'!$B$7:$B$26,D189)&lt;&gt;1,"Check account/currency",IF(OR(I189&lt;0,J189&lt;0,AND(I189&gt;0,J189&gt;0),AND(I189=0,J189=0)),"Check amounts",IF(OR(AND(E189="Income",J189&gt;0),AND(E189="Expense",I189&gt;0),AND(E189="Transfer in",J189&gt;0),AND(E189="Transfer out",I189&gt;0)),"Check type/direction",IF(AND(OR(E189="Transfer in",E189="Transfer out"),M189=""),"Add transfer pair ID",IF(AND(OR(E189="Transfer in",E189="Transfer out"),COUNTIFS($M$7:$M$506,M189,$D$7:$D$506,D189)&lt;&gt;2),"Check transfer pair",IF(AND(E189="Expense",K189=""),"Assign budget fund",IF(AND(E189="Expense",L189=""),"Add receipt / proof",""))))))))))</x:f>
      </x:c>
    </x:row>
    <x:row r="190" ht="24" customHeight="1">
      <x:c r="A190" s="10"/>
      <x:c r="B190" s="5"/>
      <x:c r="C190" s="10"/>
      <x:c r="D190" s="10"/>
      <x:c r="E190" s="10"/>
      <x:c r="F190" s="10"/>
      <x:c r="G190" s="10"/>
      <x:c r="H190" s="10"/>
      <x:c r="I190" s="11"/>
      <x:c r="J190" s="11"/>
      <x:c r="K190" s="10"/>
      <x:c r="L190" s="10"/>
      <x:c r="M190" s="10"/>
      <x:c r="N190" s="10"/>
      <x:c r="O190" s="1" t="str">
        <x:f>IF(COUNTA(A190:N190)=0,"",IF(OR(A190="",B190="",C190="",NOT(ISNUMBER(D190)),NOT(ISNUMBER(E190))),"Complete required fields",IF(COUNTIFS($A$7:$A$506,A190)&gt;1,"Duplicate ID",IF(COUNTIFS('Accounts'!$A$7:$A$26,C190,'Accounts'!$B$7:$B$26,D190)&lt;&gt;1,"Check account/currency",IF(OR(I190&lt;0,J190&lt;0,AND(I190&gt;0,J190&gt;0),AND(I190=0,J190=0)),"Check amounts",IF(OR(AND(E190="Income",J190&gt;0),AND(E190="Expense",I190&gt;0),AND(E190="Transfer in",J190&gt;0),AND(E190="Transfer out",I190&gt;0)),"Check type/direction",IF(AND(OR(E190="Transfer in",E190="Transfer out"),M190=""),"Add transfer pair ID",IF(AND(OR(E190="Transfer in",E190="Transfer out"),COUNTIFS($M$7:$M$506,M190,$D$7:$D$506,D190)&lt;&gt;2),"Check transfer pair",IF(AND(E190="Expense",K190=""),"Assign budget fund",IF(AND(E190="Expense",L190=""),"Add receipt / proof",""))))))))))</x:f>
      </x:c>
    </x:row>
    <x:row r="191" ht="24" customHeight="1">
      <x:c r="A191" s="10"/>
      <x:c r="B191" s="5"/>
      <x:c r="C191" s="10"/>
      <x:c r="D191" s="10"/>
      <x:c r="E191" s="10"/>
      <x:c r="F191" s="10"/>
      <x:c r="G191" s="10"/>
      <x:c r="H191" s="10"/>
      <x:c r="I191" s="11"/>
      <x:c r="J191" s="11"/>
      <x:c r="K191" s="10"/>
      <x:c r="L191" s="10"/>
      <x:c r="M191" s="10"/>
      <x:c r="N191" s="10"/>
      <x:c r="O191" s="1" t="str">
        <x:f>IF(COUNTA(A191:N191)=0,"",IF(OR(A191="",B191="",C191="",NOT(ISNUMBER(D191)),NOT(ISNUMBER(E191))),"Complete required fields",IF(COUNTIFS($A$7:$A$506,A191)&gt;1,"Duplicate ID",IF(COUNTIFS('Accounts'!$A$7:$A$26,C191,'Accounts'!$B$7:$B$26,D191)&lt;&gt;1,"Check account/currency",IF(OR(I191&lt;0,J191&lt;0,AND(I191&gt;0,J191&gt;0),AND(I191=0,J191=0)),"Check amounts",IF(OR(AND(E191="Income",J191&gt;0),AND(E191="Expense",I191&gt;0),AND(E191="Transfer in",J191&gt;0),AND(E191="Transfer out",I191&gt;0)),"Check type/direction",IF(AND(OR(E191="Transfer in",E191="Transfer out"),M191=""),"Add transfer pair ID",IF(AND(OR(E191="Transfer in",E191="Transfer out"),COUNTIFS($M$7:$M$506,M191,$D$7:$D$506,D191)&lt;&gt;2),"Check transfer pair",IF(AND(E191="Expense",K191=""),"Assign budget fund",IF(AND(E191="Expense",L191=""),"Add receipt / proof",""))))))))))</x:f>
      </x:c>
    </x:row>
    <x:row r="192" ht="24" customHeight="1">
      <x:c r="A192" s="10"/>
      <x:c r="B192" s="5"/>
      <x:c r="C192" s="10"/>
      <x:c r="D192" s="10"/>
      <x:c r="E192" s="10"/>
      <x:c r="F192" s="10"/>
      <x:c r="G192" s="10"/>
      <x:c r="H192" s="10"/>
      <x:c r="I192" s="11"/>
      <x:c r="J192" s="11"/>
      <x:c r="K192" s="10"/>
      <x:c r="L192" s="10"/>
      <x:c r="M192" s="10"/>
      <x:c r="N192" s="10"/>
      <x:c r="O192" s="1" t="str">
        <x:f>IF(COUNTA(A192:N192)=0,"",IF(OR(A192="",B192="",C192="",NOT(ISNUMBER(D192)),NOT(ISNUMBER(E192))),"Complete required fields",IF(COUNTIFS($A$7:$A$506,A192)&gt;1,"Duplicate ID",IF(COUNTIFS('Accounts'!$A$7:$A$26,C192,'Accounts'!$B$7:$B$26,D192)&lt;&gt;1,"Check account/currency",IF(OR(I192&lt;0,J192&lt;0,AND(I192&gt;0,J192&gt;0),AND(I192=0,J192=0)),"Check amounts",IF(OR(AND(E192="Income",J192&gt;0),AND(E192="Expense",I192&gt;0),AND(E192="Transfer in",J192&gt;0),AND(E192="Transfer out",I192&gt;0)),"Check type/direction",IF(AND(OR(E192="Transfer in",E192="Transfer out"),M192=""),"Add transfer pair ID",IF(AND(OR(E192="Transfer in",E192="Transfer out"),COUNTIFS($M$7:$M$506,M192,$D$7:$D$506,D192)&lt;&gt;2),"Check transfer pair",IF(AND(E192="Expense",K192=""),"Assign budget fund",IF(AND(E192="Expense",L192=""),"Add receipt / proof",""))))))))))</x:f>
      </x:c>
    </x:row>
    <x:row r="193" ht="24" customHeight="1">
      <x:c r="A193" s="10"/>
      <x:c r="B193" s="5"/>
      <x:c r="C193" s="10"/>
      <x:c r="D193" s="10"/>
      <x:c r="E193" s="10"/>
      <x:c r="F193" s="10"/>
      <x:c r="G193" s="10"/>
      <x:c r="H193" s="10"/>
      <x:c r="I193" s="11"/>
      <x:c r="J193" s="11"/>
      <x:c r="K193" s="10"/>
      <x:c r="L193" s="10"/>
      <x:c r="M193" s="10"/>
      <x:c r="N193" s="10"/>
      <x:c r="O193" s="1" t="str">
        <x:f>IF(COUNTA(A193:N193)=0,"",IF(OR(A193="",B193="",C193="",NOT(ISNUMBER(D193)),NOT(ISNUMBER(E193))),"Complete required fields",IF(COUNTIFS($A$7:$A$506,A193)&gt;1,"Duplicate ID",IF(COUNTIFS('Accounts'!$A$7:$A$26,C193,'Accounts'!$B$7:$B$26,D193)&lt;&gt;1,"Check account/currency",IF(OR(I193&lt;0,J193&lt;0,AND(I193&gt;0,J193&gt;0),AND(I193=0,J193=0)),"Check amounts",IF(OR(AND(E193="Income",J193&gt;0),AND(E193="Expense",I193&gt;0),AND(E193="Transfer in",J193&gt;0),AND(E193="Transfer out",I193&gt;0)),"Check type/direction",IF(AND(OR(E193="Transfer in",E193="Transfer out"),M193=""),"Add transfer pair ID",IF(AND(OR(E193="Transfer in",E193="Transfer out"),COUNTIFS($M$7:$M$506,M193,$D$7:$D$506,D193)&lt;&gt;2),"Check transfer pair",IF(AND(E193="Expense",K193=""),"Assign budget fund",IF(AND(E193="Expense",L193=""),"Add receipt / proof",""))))))))))</x:f>
      </x:c>
    </x:row>
    <x:row r="194" ht="24" customHeight="1">
      <x:c r="A194" s="10"/>
      <x:c r="B194" s="5"/>
      <x:c r="C194" s="10"/>
      <x:c r="D194" s="10"/>
      <x:c r="E194" s="10"/>
      <x:c r="F194" s="10"/>
      <x:c r="G194" s="10"/>
      <x:c r="H194" s="10"/>
      <x:c r="I194" s="11"/>
      <x:c r="J194" s="11"/>
      <x:c r="K194" s="10"/>
      <x:c r="L194" s="10"/>
      <x:c r="M194" s="10"/>
      <x:c r="N194" s="10"/>
      <x:c r="O194" s="1" t="str">
        <x:f>IF(COUNTA(A194:N194)=0,"",IF(OR(A194="",B194="",C194="",NOT(ISNUMBER(D194)),NOT(ISNUMBER(E194))),"Complete required fields",IF(COUNTIFS($A$7:$A$506,A194)&gt;1,"Duplicate ID",IF(COUNTIFS('Accounts'!$A$7:$A$26,C194,'Accounts'!$B$7:$B$26,D194)&lt;&gt;1,"Check account/currency",IF(OR(I194&lt;0,J194&lt;0,AND(I194&gt;0,J194&gt;0),AND(I194=0,J194=0)),"Check amounts",IF(OR(AND(E194="Income",J194&gt;0),AND(E194="Expense",I194&gt;0),AND(E194="Transfer in",J194&gt;0),AND(E194="Transfer out",I194&gt;0)),"Check type/direction",IF(AND(OR(E194="Transfer in",E194="Transfer out"),M194=""),"Add transfer pair ID",IF(AND(OR(E194="Transfer in",E194="Transfer out"),COUNTIFS($M$7:$M$506,M194,$D$7:$D$506,D194)&lt;&gt;2),"Check transfer pair",IF(AND(E194="Expense",K194=""),"Assign budget fund",IF(AND(E194="Expense",L194=""),"Add receipt / proof",""))))))))))</x:f>
      </x:c>
    </x:row>
    <x:row r="195" ht="24" customHeight="1">
      <x:c r="A195" s="10"/>
      <x:c r="B195" s="5"/>
      <x:c r="C195" s="10"/>
      <x:c r="D195" s="10"/>
      <x:c r="E195" s="10"/>
      <x:c r="F195" s="10"/>
      <x:c r="G195" s="10"/>
      <x:c r="H195" s="10"/>
      <x:c r="I195" s="11"/>
      <x:c r="J195" s="11"/>
      <x:c r="K195" s="10"/>
      <x:c r="L195" s="10"/>
      <x:c r="M195" s="10"/>
      <x:c r="N195" s="10"/>
      <x:c r="O195" s="1" t="str">
        <x:f>IF(COUNTA(A195:N195)=0,"",IF(OR(A195="",B195="",C195="",NOT(ISNUMBER(D195)),NOT(ISNUMBER(E195))),"Complete required fields",IF(COUNTIFS($A$7:$A$506,A195)&gt;1,"Duplicate ID",IF(COUNTIFS('Accounts'!$A$7:$A$26,C195,'Accounts'!$B$7:$B$26,D195)&lt;&gt;1,"Check account/currency",IF(OR(I195&lt;0,J195&lt;0,AND(I195&gt;0,J195&gt;0),AND(I195=0,J195=0)),"Check amounts",IF(OR(AND(E195="Income",J195&gt;0),AND(E195="Expense",I195&gt;0),AND(E195="Transfer in",J195&gt;0),AND(E195="Transfer out",I195&gt;0)),"Check type/direction",IF(AND(OR(E195="Transfer in",E195="Transfer out"),M195=""),"Add transfer pair ID",IF(AND(OR(E195="Transfer in",E195="Transfer out"),COUNTIFS($M$7:$M$506,M195,$D$7:$D$506,D195)&lt;&gt;2),"Check transfer pair",IF(AND(E195="Expense",K195=""),"Assign budget fund",IF(AND(E195="Expense",L195=""),"Add receipt / proof",""))))))))))</x:f>
      </x:c>
    </x:row>
    <x:row r="196" ht="24" customHeight="1">
      <x:c r="A196" s="10"/>
      <x:c r="B196" s="5"/>
      <x:c r="C196" s="10"/>
      <x:c r="D196" s="10"/>
      <x:c r="E196" s="10"/>
      <x:c r="F196" s="10"/>
      <x:c r="G196" s="10"/>
      <x:c r="H196" s="10"/>
      <x:c r="I196" s="11"/>
      <x:c r="J196" s="11"/>
      <x:c r="K196" s="10"/>
      <x:c r="L196" s="10"/>
      <x:c r="M196" s="10"/>
      <x:c r="N196" s="10"/>
      <x:c r="O196" s="1" t="str">
        <x:f>IF(COUNTA(A196:N196)=0,"",IF(OR(A196="",B196="",C196="",NOT(ISNUMBER(D196)),NOT(ISNUMBER(E196))),"Complete required fields",IF(COUNTIFS($A$7:$A$506,A196)&gt;1,"Duplicate ID",IF(COUNTIFS('Accounts'!$A$7:$A$26,C196,'Accounts'!$B$7:$B$26,D196)&lt;&gt;1,"Check account/currency",IF(OR(I196&lt;0,J196&lt;0,AND(I196&gt;0,J196&gt;0),AND(I196=0,J196=0)),"Check amounts",IF(OR(AND(E196="Income",J196&gt;0),AND(E196="Expense",I196&gt;0),AND(E196="Transfer in",J196&gt;0),AND(E196="Transfer out",I196&gt;0)),"Check type/direction",IF(AND(OR(E196="Transfer in",E196="Transfer out"),M196=""),"Add transfer pair ID",IF(AND(OR(E196="Transfer in",E196="Transfer out"),COUNTIFS($M$7:$M$506,M196,$D$7:$D$506,D196)&lt;&gt;2),"Check transfer pair",IF(AND(E196="Expense",K196=""),"Assign budget fund",IF(AND(E196="Expense",L196=""),"Add receipt / proof",""))))))))))</x:f>
      </x:c>
    </x:row>
    <x:row r="197" ht="24" customHeight="1">
      <x:c r="A197" s="10"/>
      <x:c r="B197" s="5"/>
      <x:c r="C197" s="10"/>
      <x:c r="D197" s="10"/>
      <x:c r="E197" s="10"/>
      <x:c r="F197" s="10"/>
      <x:c r="G197" s="10"/>
      <x:c r="H197" s="10"/>
      <x:c r="I197" s="11"/>
      <x:c r="J197" s="11"/>
      <x:c r="K197" s="10"/>
      <x:c r="L197" s="10"/>
      <x:c r="M197" s="10"/>
      <x:c r="N197" s="10"/>
      <x:c r="O197" s="1" t="str">
        <x:f>IF(COUNTA(A197:N197)=0,"",IF(OR(A197="",B197="",C197="",NOT(ISNUMBER(D197)),NOT(ISNUMBER(E197))),"Complete required fields",IF(COUNTIFS($A$7:$A$506,A197)&gt;1,"Duplicate ID",IF(COUNTIFS('Accounts'!$A$7:$A$26,C197,'Accounts'!$B$7:$B$26,D197)&lt;&gt;1,"Check account/currency",IF(OR(I197&lt;0,J197&lt;0,AND(I197&gt;0,J197&gt;0),AND(I197=0,J197=0)),"Check amounts",IF(OR(AND(E197="Income",J197&gt;0),AND(E197="Expense",I197&gt;0),AND(E197="Transfer in",J197&gt;0),AND(E197="Transfer out",I197&gt;0)),"Check type/direction",IF(AND(OR(E197="Transfer in",E197="Transfer out"),M197=""),"Add transfer pair ID",IF(AND(OR(E197="Transfer in",E197="Transfer out"),COUNTIFS($M$7:$M$506,M197,$D$7:$D$506,D197)&lt;&gt;2),"Check transfer pair",IF(AND(E197="Expense",K197=""),"Assign budget fund",IF(AND(E197="Expense",L197=""),"Add receipt / proof",""))))))))))</x:f>
      </x:c>
    </x:row>
    <x:row r="198" ht="24" customHeight="1">
      <x:c r="A198" s="10"/>
      <x:c r="B198" s="5"/>
      <x:c r="C198" s="10"/>
      <x:c r="D198" s="10"/>
      <x:c r="E198" s="10"/>
      <x:c r="F198" s="10"/>
      <x:c r="G198" s="10"/>
      <x:c r="H198" s="10"/>
      <x:c r="I198" s="11"/>
      <x:c r="J198" s="11"/>
      <x:c r="K198" s="10"/>
      <x:c r="L198" s="10"/>
      <x:c r="M198" s="10"/>
      <x:c r="N198" s="10"/>
      <x:c r="O198" s="1" t="str">
        <x:f>IF(COUNTA(A198:N198)=0,"",IF(OR(A198="",B198="",C198="",NOT(ISNUMBER(D198)),NOT(ISNUMBER(E198))),"Complete required fields",IF(COUNTIFS($A$7:$A$506,A198)&gt;1,"Duplicate ID",IF(COUNTIFS('Accounts'!$A$7:$A$26,C198,'Accounts'!$B$7:$B$26,D198)&lt;&gt;1,"Check account/currency",IF(OR(I198&lt;0,J198&lt;0,AND(I198&gt;0,J198&gt;0),AND(I198=0,J198=0)),"Check amounts",IF(OR(AND(E198="Income",J198&gt;0),AND(E198="Expense",I198&gt;0),AND(E198="Transfer in",J198&gt;0),AND(E198="Transfer out",I198&gt;0)),"Check type/direction",IF(AND(OR(E198="Transfer in",E198="Transfer out"),M198=""),"Add transfer pair ID",IF(AND(OR(E198="Transfer in",E198="Transfer out"),COUNTIFS($M$7:$M$506,M198,$D$7:$D$506,D198)&lt;&gt;2),"Check transfer pair",IF(AND(E198="Expense",K198=""),"Assign budget fund",IF(AND(E198="Expense",L198=""),"Add receipt / proof",""))))))))))</x:f>
      </x:c>
    </x:row>
    <x:row r="199" ht="24" customHeight="1">
      <x:c r="A199" s="10"/>
      <x:c r="B199" s="5"/>
      <x:c r="C199" s="10"/>
      <x:c r="D199" s="10"/>
      <x:c r="E199" s="10"/>
      <x:c r="F199" s="10"/>
      <x:c r="G199" s="10"/>
      <x:c r="H199" s="10"/>
      <x:c r="I199" s="11"/>
      <x:c r="J199" s="11"/>
      <x:c r="K199" s="10"/>
      <x:c r="L199" s="10"/>
      <x:c r="M199" s="10"/>
      <x:c r="N199" s="10"/>
      <x:c r="O199" s="1" t="str">
        <x:f>IF(COUNTA(A199:N199)=0,"",IF(OR(A199="",B199="",C199="",NOT(ISNUMBER(D199)),NOT(ISNUMBER(E199))),"Complete required fields",IF(COUNTIFS($A$7:$A$506,A199)&gt;1,"Duplicate ID",IF(COUNTIFS('Accounts'!$A$7:$A$26,C199,'Accounts'!$B$7:$B$26,D199)&lt;&gt;1,"Check account/currency",IF(OR(I199&lt;0,J199&lt;0,AND(I199&gt;0,J199&gt;0),AND(I199=0,J199=0)),"Check amounts",IF(OR(AND(E199="Income",J199&gt;0),AND(E199="Expense",I199&gt;0),AND(E199="Transfer in",J199&gt;0),AND(E199="Transfer out",I199&gt;0)),"Check type/direction",IF(AND(OR(E199="Transfer in",E199="Transfer out"),M199=""),"Add transfer pair ID",IF(AND(OR(E199="Transfer in",E199="Transfer out"),COUNTIFS($M$7:$M$506,M199,$D$7:$D$506,D199)&lt;&gt;2),"Check transfer pair",IF(AND(E199="Expense",K199=""),"Assign budget fund",IF(AND(E199="Expense",L199=""),"Add receipt / proof",""))))))))))</x:f>
      </x:c>
    </x:row>
    <x:row r="200" ht="24" customHeight="1">
      <x:c r="A200" s="10"/>
      <x:c r="B200" s="5"/>
      <x:c r="C200" s="10"/>
      <x:c r="D200" s="10"/>
      <x:c r="E200" s="10"/>
      <x:c r="F200" s="10"/>
      <x:c r="G200" s="10"/>
      <x:c r="H200" s="10"/>
      <x:c r="I200" s="11"/>
      <x:c r="J200" s="11"/>
      <x:c r="K200" s="10"/>
      <x:c r="L200" s="10"/>
      <x:c r="M200" s="10"/>
      <x:c r="N200" s="10"/>
      <x:c r="O200" s="1" t="str">
        <x:f>IF(COUNTA(A200:N200)=0,"",IF(OR(A200="",B200="",C200="",NOT(ISNUMBER(D200)),NOT(ISNUMBER(E200))),"Complete required fields",IF(COUNTIFS($A$7:$A$506,A200)&gt;1,"Duplicate ID",IF(COUNTIFS('Accounts'!$A$7:$A$26,C200,'Accounts'!$B$7:$B$26,D200)&lt;&gt;1,"Check account/currency",IF(OR(I200&lt;0,J200&lt;0,AND(I200&gt;0,J200&gt;0),AND(I200=0,J200=0)),"Check amounts",IF(OR(AND(E200="Income",J200&gt;0),AND(E200="Expense",I200&gt;0),AND(E200="Transfer in",J200&gt;0),AND(E200="Transfer out",I200&gt;0)),"Check type/direction",IF(AND(OR(E200="Transfer in",E200="Transfer out"),M200=""),"Add transfer pair ID",IF(AND(OR(E200="Transfer in",E200="Transfer out"),COUNTIFS($M$7:$M$506,M200,$D$7:$D$506,D200)&lt;&gt;2),"Check transfer pair",IF(AND(E200="Expense",K200=""),"Assign budget fund",IF(AND(E200="Expense",L200=""),"Add receipt / proof",""))))))))))</x:f>
      </x:c>
    </x:row>
    <x:row r="201" ht="24" customHeight="1">
      <x:c r="A201" s="10"/>
      <x:c r="B201" s="5"/>
      <x:c r="C201" s="10"/>
      <x:c r="D201" s="10"/>
      <x:c r="E201" s="10"/>
      <x:c r="F201" s="10"/>
      <x:c r="G201" s="10"/>
      <x:c r="H201" s="10"/>
      <x:c r="I201" s="11"/>
      <x:c r="J201" s="11"/>
      <x:c r="K201" s="10"/>
      <x:c r="L201" s="10"/>
      <x:c r="M201" s="10"/>
      <x:c r="N201" s="10"/>
      <x:c r="O201" s="1" t="str">
        <x:f>IF(COUNTA(A201:N201)=0,"",IF(OR(A201="",B201="",C201="",NOT(ISNUMBER(D201)),NOT(ISNUMBER(E201))),"Complete required fields",IF(COUNTIFS($A$7:$A$506,A201)&gt;1,"Duplicate ID",IF(COUNTIFS('Accounts'!$A$7:$A$26,C201,'Accounts'!$B$7:$B$26,D201)&lt;&gt;1,"Check account/currency",IF(OR(I201&lt;0,J201&lt;0,AND(I201&gt;0,J201&gt;0),AND(I201=0,J201=0)),"Check amounts",IF(OR(AND(E201="Income",J201&gt;0),AND(E201="Expense",I201&gt;0),AND(E201="Transfer in",J201&gt;0),AND(E201="Transfer out",I201&gt;0)),"Check type/direction",IF(AND(OR(E201="Transfer in",E201="Transfer out"),M201=""),"Add transfer pair ID",IF(AND(OR(E201="Transfer in",E201="Transfer out"),COUNTIFS($M$7:$M$506,M201,$D$7:$D$506,D201)&lt;&gt;2),"Check transfer pair",IF(AND(E201="Expense",K201=""),"Assign budget fund",IF(AND(E201="Expense",L201=""),"Add receipt / proof",""))))))))))</x:f>
      </x:c>
    </x:row>
    <x:row r="202" ht="24" customHeight="1">
      <x:c r="A202" s="10"/>
      <x:c r="B202" s="5"/>
      <x:c r="C202" s="10"/>
      <x:c r="D202" s="10"/>
      <x:c r="E202" s="10"/>
      <x:c r="F202" s="10"/>
      <x:c r="G202" s="10"/>
      <x:c r="H202" s="10"/>
      <x:c r="I202" s="11"/>
      <x:c r="J202" s="11"/>
      <x:c r="K202" s="10"/>
      <x:c r="L202" s="10"/>
      <x:c r="M202" s="10"/>
      <x:c r="N202" s="10"/>
      <x:c r="O202" s="1" t="str">
        <x:f>IF(COUNTA(A202:N202)=0,"",IF(OR(A202="",B202="",C202="",NOT(ISNUMBER(D202)),NOT(ISNUMBER(E202))),"Complete required fields",IF(COUNTIFS($A$7:$A$506,A202)&gt;1,"Duplicate ID",IF(COUNTIFS('Accounts'!$A$7:$A$26,C202,'Accounts'!$B$7:$B$26,D202)&lt;&gt;1,"Check account/currency",IF(OR(I202&lt;0,J202&lt;0,AND(I202&gt;0,J202&gt;0),AND(I202=0,J202=0)),"Check amounts",IF(OR(AND(E202="Income",J202&gt;0),AND(E202="Expense",I202&gt;0),AND(E202="Transfer in",J202&gt;0),AND(E202="Transfer out",I202&gt;0)),"Check type/direction",IF(AND(OR(E202="Transfer in",E202="Transfer out"),M202=""),"Add transfer pair ID",IF(AND(OR(E202="Transfer in",E202="Transfer out"),COUNTIFS($M$7:$M$506,M202,$D$7:$D$506,D202)&lt;&gt;2),"Check transfer pair",IF(AND(E202="Expense",K202=""),"Assign budget fund",IF(AND(E202="Expense",L202=""),"Add receipt / proof",""))))))))))</x:f>
      </x:c>
    </x:row>
    <x:row r="203" ht="24" customHeight="1">
      <x:c r="A203" s="10"/>
      <x:c r="B203" s="5"/>
      <x:c r="C203" s="10"/>
      <x:c r="D203" s="10"/>
      <x:c r="E203" s="10"/>
      <x:c r="F203" s="10"/>
      <x:c r="G203" s="10"/>
      <x:c r="H203" s="10"/>
      <x:c r="I203" s="11"/>
      <x:c r="J203" s="11"/>
      <x:c r="K203" s="10"/>
      <x:c r="L203" s="10"/>
      <x:c r="M203" s="10"/>
      <x:c r="N203" s="10"/>
      <x:c r="O203" s="1" t="str">
        <x:f>IF(COUNTA(A203:N203)=0,"",IF(OR(A203="",B203="",C203="",NOT(ISNUMBER(D203)),NOT(ISNUMBER(E203))),"Complete required fields",IF(COUNTIFS($A$7:$A$506,A203)&gt;1,"Duplicate ID",IF(COUNTIFS('Accounts'!$A$7:$A$26,C203,'Accounts'!$B$7:$B$26,D203)&lt;&gt;1,"Check account/currency",IF(OR(I203&lt;0,J203&lt;0,AND(I203&gt;0,J203&gt;0),AND(I203=0,J203=0)),"Check amounts",IF(OR(AND(E203="Income",J203&gt;0),AND(E203="Expense",I203&gt;0),AND(E203="Transfer in",J203&gt;0),AND(E203="Transfer out",I203&gt;0)),"Check type/direction",IF(AND(OR(E203="Transfer in",E203="Transfer out"),M203=""),"Add transfer pair ID",IF(AND(OR(E203="Transfer in",E203="Transfer out"),COUNTIFS($M$7:$M$506,M203,$D$7:$D$506,D203)&lt;&gt;2),"Check transfer pair",IF(AND(E203="Expense",K203=""),"Assign budget fund",IF(AND(E203="Expense",L203=""),"Add receipt / proof",""))))))))))</x:f>
      </x:c>
    </x:row>
    <x:row r="204" ht="24" customHeight="1">
      <x:c r="A204" s="10"/>
      <x:c r="B204" s="5"/>
      <x:c r="C204" s="10"/>
      <x:c r="D204" s="10"/>
      <x:c r="E204" s="10"/>
      <x:c r="F204" s="10"/>
      <x:c r="G204" s="10"/>
      <x:c r="H204" s="10"/>
      <x:c r="I204" s="11"/>
      <x:c r="J204" s="11"/>
      <x:c r="K204" s="10"/>
      <x:c r="L204" s="10"/>
      <x:c r="M204" s="10"/>
      <x:c r="N204" s="10"/>
      <x:c r="O204" s="1" t="str">
        <x:f>IF(COUNTA(A204:N204)=0,"",IF(OR(A204="",B204="",C204="",NOT(ISNUMBER(D204)),NOT(ISNUMBER(E204))),"Complete required fields",IF(COUNTIFS($A$7:$A$506,A204)&gt;1,"Duplicate ID",IF(COUNTIFS('Accounts'!$A$7:$A$26,C204,'Accounts'!$B$7:$B$26,D204)&lt;&gt;1,"Check account/currency",IF(OR(I204&lt;0,J204&lt;0,AND(I204&gt;0,J204&gt;0),AND(I204=0,J204=0)),"Check amounts",IF(OR(AND(E204="Income",J204&gt;0),AND(E204="Expense",I204&gt;0),AND(E204="Transfer in",J204&gt;0),AND(E204="Transfer out",I204&gt;0)),"Check type/direction",IF(AND(OR(E204="Transfer in",E204="Transfer out"),M204=""),"Add transfer pair ID",IF(AND(OR(E204="Transfer in",E204="Transfer out"),COUNTIFS($M$7:$M$506,M204,$D$7:$D$506,D204)&lt;&gt;2),"Check transfer pair",IF(AND(E204="Expense",K204=""),"Assign budget fund",IF(AND(E204="Expense",L204=""),"Add receipt / proof",""))))))))))</x:f>
      </x:c>
    </x:row>
    <x:row r="205" ht="24" customHeight="1">
      <x:c r="A205" s="10"/>
      <x:c r="B205" s="5"/>
      <x:c r="C205" s="10"/>
      <x:c r="D205" s="10"/>
      <x:c r="E205" s="10"/>
      <x:c r="F205" s="10"/>
      <x:c r="G205" s="10"/>
      <x:c r="H205" s="10"/>
      <x:c r="I205" s="11"/>
      <x:c r="J205" s="11"/>
      <x:c r="K205" s="10"/>
      <x:c r="L205" s="10"/>
      <x:c r="M205" s="10"/>
      <x:c r="N205" s="10"/>
      <x:c r="O205" s="1" t="str">
        <x:f>IF(COUNTA(A205:N205)=0,"",IF(OR(A205="",B205="",C205="",NOT(ISNUMBER(D205)),NOT(ISNUMBER(E205))),"Complete required fields",IF(COUNTIFS($A$7:$A$506,A205)&gt;1,"Duplicate ID",IF(COUNTIFS('Accounts'!$A$7:$A$26,C205,'Accounts'!$B$7:$B$26,D205)&lt;&gt;1,"Check account/currency",IF(OR(I205&lt;0,J205&lt;0,AND(I205&gt;0,J205&gt;0),AND(I205=0,J205=0)),"Check amounts",IF(OR(AND(E205="Income",J205&gt;0),AND(E205="Expense",I205&gt;0),AND(E205="Transfer in",J205&gt;0),AND(E205="Transfer out",I205&gt;0)),"Check type/direction",IF(AND(OR(E205="Transfer in",E205="Transfer out"),M205=""),"Add transfer pair ID",IF(AND(OR(E205="Transfer in",E205="Transfer out"),COUNTIFS($M$7:$M$506,M205,$D$7:$D$506,D205)&lt;&gt;2),"Check transfer pair",IF(AND(E205="Expense",K205=""),"Assign budget fund",IF(AND(E205="Expense",L205=""),"Add receipt / proof",""))))))))))</x:f>
      </x:c>
    </x:row>
    <x:row r="206" ht="24" customHeight="1">
      <x:c r="A206" s="10"/>
      <x:c r="B206" s="5"/>
      <x:c r="C206" s="10"/>
      <x:c r="D206" s="10"/>
      <x:c r="E206" s="10"/>
      <x:c r="F206" s="10"/>
      <x:c r="G206" s="10"/>
      <x:c r="H206" s="10"/>
      <x:c r="I206" s="11"/>
      <x:c r="J206" s="11"/>
      <x:c r="K206" s="10"/>
      <x:c r="L206" s="10"/>
      <x:c r="M206" s="10"/>
      <x:c r="N206" s="10"/>
      <x:c r="O206" s="1" t="str">
        <x:f>IF(COUNTA(A206:N206)=0,"",IF(OR(A206="",B206="",C206="",NOT(ISNUMBER(D206)),NOT(ISNUMBER(E206))),"Complete required fields",IF(COUNTIFS($A$7:$A$506,A206)&gt;1,"Duplicate ID",IF(COUNTIFS('Accounts'!$A$7:$A$26,C206,'Accounts'!$B$7:$B$26,D206)&lt;&gt;1,"Check account/currency",IF(OR(I206&lt;0,J206&lt;0,AND(I206&gt;0,J206&gt;0),AND(I206=0,J206=0)),"Check amounts",IF(OR(AND(E206="Income",J206&gt;0),AND(E206="Expense",I206&gt;0),AND(E206="Transfer in",J206&gt;0),AND(E206="Transfer out",I206&gt;0)),"Check type/direction",IF(AND(OR(E206="Transfer in",E206="Transfer out"),M206=""),"Add transfer pair ID",IF(AND(OR(E206="Transfer in",E206="Transfer out"),COUNTIFS($M$7:$M$506,M206,$D$7:$D$506,D206)&lt;&gt;2),"Check transfer pair",IF(AND(E206="Expense",K206=""),"Assign budget fund",IF(AND(E206="Expense",L206=""),"Add receipt / proof",""))))))))))</x:f>
      </x:c>
    </x:row>
    <x:row r="207" ht="24" customHeight="1">
      <x:c r="A207" s="10"/>
      <x:c r="B207" s="5"/>
      <x:c r="C207" s="10"/>
      <x:c r="D207" s="10"/>
      <x:c r="E207" s="10"/>
      <x:c r="F207" s="10"/>
      <x:c r="G207" s="10"/>
      <x:c r="H207" s="10"/>
      <x:c r="I207" s="11"/>
      <x:c r="J207" s="11"/>
      <x:c r="K207" s="10"/>
      <x:c r="L207" s="10"/>
      <x:c r="M207" s="10"/>
      <x:c r="N207" s="10"/>
      <x:c r="O207" s="1" t="str">
        <x:f>IF(COUNTA(A207:N207)=0,"",IF(OR(A207="",B207="",C207="",NOT(ISNUMBER(D207)),NOT(ISNUMBER(E207))),"Complete required fields",IF(COUNTIFS($A$7:$A$506,A207)&gt;1,"Duplicate ID",IF(COUNTIFS('Accounts'!$A$7:$A$26,C207,'Accounts'!$B$7:$B$26,D207)&lt;&gt;1,"Check account/currency",IF(OR(I207&lt;0,J207&lt;0,AND(I207&gt;0,J207&gt;0),AND(I207=0,J207=0)),"Check amounts",IF(OR(AND(E207="Income",J207&gt;0),AND(E207="Expense",I207&gt;0),AND(E207="Transfer in",J207&gt;0),AND(E207="Transfer out",I207&gt;0)),"Check type/direction",IF(AND(OR(E207="Transfer in",E207="Transfer out"),M207=""),"Add transfer pair ID",IF(AND(OR(E207="Transfer in",E207="Transfer out"),COUNTIFS($M$7:$M$506,M207,$D$7:$D$506,D207)&lt;&gt;2),"Check transfer pair",IF(AND(E207="Expense",K207=""),"Assign budget fund",IF(AND(E207="Expense",L207=""),"Add receipt / proof",""))))))))))</x:f>
      </x:c>
    </x:row>
    <x:row r="208" ht="24" customHeight="1">
      <x:c r="A208" s="10"/>
      <x:c r="B208" s="5"/>
      <x:c r="C208" s="10"/>
      <x:c r="D208" s="10"/>
      <x:c r="E208" s="10"/>
      <x:c r="F208" s="10"/>
      <x:c r="G208" s="10"/>
      <x:c r="H208" s="10"/>
      <x:c r="I208" s="11"/>
      <x:c r="J208" s="11"/>
      <x:c r="K208" s="10"/>
      <x:c r="L208" s="10"/>
      <x:c r="M208" s="10"/>
      <x:c r="N208" s="10"/>
      <x:c r="O208" s="1" t="str">
        <x:f>IF(COUNTA(A208:N208)=0,"",IF(OR(A208="",B208="",C208="",NOT(ISNUMBER(D208)),NOT(ISNUMBER(E208))),"Complete required fields",IF(COUNTIFS($A$7:$A$506,A208)&gt;1,"Duplicate ID",IF(COUNTIFS('Accounts'!$A$7:$A$26,C208,'Accounts'!$B$7:$B$26,D208)&lt;&gt;1,"Check account/currency",IF(OR(I208&lt;0,J208&lt;0,AND(I208&gt;0,J208&gt;0),AND(I208=0,J208=0)),"Check amounts",IF(OR(AND(E208="Income",J208&gt;0),AND(E208="Expense",I208&gt;0),AND(E208="Transfer in",J208&gt;0),AND(E208="Transfer out",I208&gt;0)),"Check type/direction",IF(AND(OR(E208="Transfer in",E208="Transfer out"),M208=""),"Add transfer pair ID",IF(AND(OR(E208="Transfer in",E208="Transfer out"),COUNTIFS($M$7:$M$506,M208,$D$7:$D$506,D208)&lt;&gt;2),"Check transfer pair",IF(AND(E208="Expense",K208=""),"Assign budget fund",IF(AND(E208="Expense",L208=""),"Add receipt / proof",""))))))))))</x:f>
      </x:c>
    </x:row>
    <x:row r="209" ht="24" customHeight="1">
      <x:c r="A209" s="10"/>
      <x:c r="B209" s="5"/>
      <x:c r="C209" s="10"/>
      <x:c r="D209" s="10"/>
      <x:c r="E209" s="10"/>
      <x:c r="F209" s="10"/>
      <x:c r="G209" s="10"/>
      <x:c r="H209" s="10"/>
      <x:c r="I209" s="11"/>
      <x:c r="J209" s="11"/>
      <x:c r="K209" s="10"/>
      <x:c r="L209" s="10"/>
      <x:c r="M209" s="10"/>
      <x:c r="N209" s="10"/>
      <x:c r="O209" s="1" t="str">
        <x:f>IF(COUNTA(A209:N209)=0,"",IF(OR(A209="",B209="",C209="",NOT(ISNUMBER(D209)),NOT(ISNUMBER(E209))),"Complete required fields",IF(COUNTIFS($A$7:$A$506,A209)&gt;1,"Duplicate ID",IF(COUNTIFS('Accounts'!$A$7:$A$26,C209,'Accounts'!$B$7:$B$26,D209)&lt;&gt;1,"Check account/currency",IF(OR(I209&lt;0,J209&lt;0,AND(I209&gt;0,J209&gt;0),AND(I209=0,J209=0)),"Check amounts",IF(OR(AND(E209="Income",J209&gt;0),AND(E209="Expense",I209&gt;0),AND(E209="Transfer in",J209&gt;0),AND(E209="Transfer out",I209&gt;0)),"Check type/direction",IF(AND(OR(E209="Transfer in",E209="Transfer out"),M209=""),"Add transfer pair ID",IF(AND(OR(E209="Transfer in",E209="Transfer out"),COUNTIFS($M$7:$M$506,M209,$D$7:$D$506,D209)&lt;&gt;2),"Check transfer pair",IF(AND(E209="Expense",K209=""),"Assign budget fund",IF(AND(E209="Expense",L209=""),"Add receipt / proof",""))))))))))</x:f>
      </x:c>
    </x:row>
    <x:row r="210" ht="24" customHeight="1">
      <x:c r="A210" s="10"/>
      <x:c r="B210" s="5"/>
      <x:c r="C210" s="10"/>
      <x:c r="D210" s="10"/>
      <x:c r="E210" s="10"/>
      <x:c r="F210" s="10"/>
      <x:c r="G210" s="10"/>
      <x:c r="H210" s="10"/>
      <x:c r="I210" s="11"/>
      <x:c r="J210" s="11"/>
      <x:c r="K210" s="10"/>
      <x:c r="L210" s="10"/>
      <x:c r="M210" s="10"/>
      <x:c r="N210" s="10"/>
      <x:c r="O210" s="1" t="str">
        <x:f>IF(COUNTA(A210:N210)=0,"",IF(OR(A210="",B210="",C210="",NOT(ISNUMBER(D210)),NOT(ISNUMBER(E210))),"Complete required fields",IF(COUNTIFS($A$7:$A$506,A210)&gt;1,"Duplicate ID",IF(COUNTIFS('Accounts'!$A$7:$A$26,C210,'Accounts'!$B$7:$B$26,D210)&lt;&gt;1,"Check account/currency",IF(OR(I210&lt;0,J210&lt;0,AND(I210&gt;0,J210&gt;0),AND(I210=0,J210=0)),"Check amounts",IF(OR(AND(E210="Income",J210&gt;0),AND(E210="Expense",I210&gt;0),AND(E210="Transfer in",J210&gt;0),AND(E210="Transfer out",I210&gt;0)),"Check type/direction",IF(AND(OR(E210="Transfer in",E210="Transfer out"),M210=""),"Add transfer pair ID",IF(AND(OR(E210="Transfer in",E210="Transfer out"),COUNTIFS($M$7:$M$506,M210,$D$7:$D$506,D210)&lt;&gt;2),"Check transfer pair",IF(AND(E210="Expense",K210=""),"Assign budget fund",IF(AND(E210="Expense",L210=""),"Add receipt / proof",""))))))))))</x:f>
      </x:c>
    </x:row>
    <x:row r="211" ht="24" customHeight="1">
      <x:c r="A211" s="10"/>
      <x:c r="B211" s="5"/>
      <x:c r="C211" s="10"/>
      <x:c r="D211" s="10"/>
      <x:c r="E211" s="10"/>
      <x:c r="F211" s="10"/>
      <x:c r="G211" s="10"/>
      <x:c r="H211" s="10"/>
      <x:c r="I211" s="11"/>
      <x:c r="J211" s="11"/>
      <x:c r="K211" s="10"/>
      <x:c r="L211" s="10"/>
      <x:c r="M211" s="10"/>
      <x:c r="N211" s="10"/>
      <x:c r="O211" s="1" t="str">
        <x:f>IF(COUNTA(A211:N211)=0,"",IF(OR(A211="",B211="",C211="",NOT(ISNUMBER(D211)),NOT(ISNUMBER(E211))),"Complete required fields",IF(COUNTIFS($A$7:$A$506,A211)&gt;1,"Duplicate ID",IF(COUNTIFS('Accounts'!$A$7:$A$26,C211,'Accounts'!$B$7:$B$26,D211)&lt;&gt;1,"Check account/currency",IF(OR(I211&lt;0,J211&lt;0,AND(I211&gt;0,J211&gt;0),AND(I211=0,J211=0)),"Check amounts",IF(OR(AND(E211="Income",J211&gt;0),AND(E211="Expense",I211&gt;0),AND(E211="Transfer in",J211&gt;0),AND(E211="Transfer out",I211&gt;0)),"Check type/direction",IF(AND(OR(E211="Transfer in",E211="Transfer out"),M211=""),"Add transfer pair ID",IF(AND(OR(E211="Transfer in",E211="Transfer out"),COUNTIFS($M$7:$M$506,M211,$D$7:$D$506,D211)&lt;&gt;2),"Check transfer pair",IF(AND(E211="Expense",K211=""),"Assign budget fund",IF(AND(E211="Expense",L211=""),"Add receipt / proof",""))))))))))</x:f>
      </x:c>
    </x:row>
    <x:row r="212" ht="24" customHeight="1">
      <x:c r="A212" s="10"/>
      <x:c r="B212" s="5"/>
      <x:c r="C212" s="10"/>
      <x:c r="D212" s="10"/>
      <x:c r="E212" s="10"/>
      <x:c r="F212" s="10"/>
      <x:c r="G212" s="10"/>
      <x:c r="H212" s="10"/>
      <x:c r="I212" s="11"/>
      <x:c r="J212" s="11"/>
      <x:c r="K212" s="10"/>
      <x:c r="L212" s="10"/>
      <x:c r="M212" s="10"/>
      <x:c r="N212" s="10"/>
      <x:c r="O212" s="1" t="str">
        <x:f>IF(COUNTA(A212:N212)=0,"",IF(OR(A212="",B212="",C212="",NOT(ISNUMBER(D212)),NOT(ISNUMBER(E212))),"Complete required fields",IF(COUNTIFS($A$7:$A$506,A212)&gt;1,"Duplicate ID",IF(COUNTIFS('Accounts'!$A$7:$A$26,C212,'Accounts'!$B$7:$B$26,D212)&lt;&gt;1,"Check account/currency",IF(OR(I212&lt;0,J212&lt;0,AND(I212&gt;0,J212&gt;0),AND(I212=0,J212=0)),"Check amounts",IF(OR(AND(E212="Income",J212&gt;0),AND(E212="Expense",I212&gt;0),AND(E212="Transfer in",J212&gt;0),AND(E212="Transfer out",I212&gt;0)),"Check type/direction",IF(AND(OR(E212="Transfer in",E212="Transfer out"),M212=""),"Add transfer pair ID",IF(AND(OR(E212="Transfer in",E212="Transfer out"),COUNTIFS($M$7:$M$506,M212,$D$7:$D$506,D212)&lt;&gt;2),"Check transfer pair",IF(AND(E212="Expense",K212=""),"Assign budget fund",IF(AND(E212="Expense",L212=""),"Add receipt / proof",""))))))))))</x:f>
      </x:c>
    </x:row>
    <x:row r="213" ht="24" customHeight="1">
      <x:c r="A213" s="10"/>
      <x:c r="B213" s="5"/>
      <x:c r="C213" s="10"/>
      <x:c r="D213" s="10"/>
      <x:c r="E213" s="10"/>
      <x:c r="F213" s="10"/>
      <x:c r="G213" s="10"/>
      <x:c r="H213" s="10"/>
      <x:c r="I213" s="11"/>
      <x:c r="J213" s="11"/>
      <x:c r="K213" s="10"/>
      <x:c r="L213" s="10"/>
      <x:c r="M213" s="10"/>
      <x:c r="N213" s="10"/>
      <x:c r="O213" s="1" t="str">
        <x:f>IF(COUNTA(A213:N213)=0,"",IF(OR(A213="",B213="",C213="",NOT(ISNUMBER(D213)),NOT(ISNUMBER(E213))),"Complete required fields",IF(COUNTIFS($A$7:$A$506,A213)&gt;1,"Duplicate ID",IF(COUNTIFS('Accounts'!$A$7:$A$26,C213,'Accounts'!$B$7:$B$26,D213)&lt;&gt;1,"Check account/currency",IF(OR(I213&lt;0,J213&lt;0,AND(I213&gt;0,J213&gt;0),AND(I213=0,J213=0)),"Check amounts",IF(OR(AND(E213="Income",J213&gt;0),AND(E213="Expense",I213&gt;0),AND(E213="Transfer in",J213&gt;0),AND(E213="Transfer out",I213&gt;0)),"Check type/direction",IF(AND(OR(E213="Transfer in",E213="Transfer out"),M213=""),"Add transfer pair ID",IF(AND(OR(E213="Transfer in",E213="Transfer out"),COUNTIFS($M$7:$M$506,M213,$D$7:$D$506,D213)&lt;&gt;2),"Check transfer pair",IF(AND(E213="Expense",K213=""),"Assign budget fund",IF(AND(E213="Expense",L213=""),"Add receipt / proof",""))))))))))</x:f>
      </x:c>
    </x:row>
    <x:row r="214" ht="24" customHeight="1">
      <x:c r="A214" s="10"/>
      <x:c r="B214" s="5"/>
      <x:c r="C214" s="10"/>
      <x:c r="D214" s="10"/>
      <x:c r="E214" s="10"/>
      <x:c r="F214" s="10"/>
      <x:c r="G214" s="10"/>
      <x:c r="H214" s="10"/>
      <x:c r="I214" s="11"/>
      <x:c r="J214" s="11"/>
      <x:c r="K214" s="10"/>
      <x:c r="L214" s="10"/>
      <x:c r="M214" s="10"/>
      <x:c r="N214" s="10"/>
      <x:c r="O214" s="1" t="str">
        <x:f>IF(COUNTA(A214:N214)=0,"",IF(OR(A214="",B214="",C214="",NOT(ISNUMBER(D214)),NOT(ISNUMBER(E214))),"Complete required fields",IF(COUNTIFS($A$7:$A$506,A214)&gt;1,"Duplicate ID",IF(COUNTIFS('Accounts'!$A$7:$A$26,C214,'Accounts'!$B$7:$B$26,D214)&lt;&gt;1,"Check account/currency",IF(OR(I214&lt;0,J214&lt;0,AND(I214&gt;0,J214&gt;0),AND(I214=0,J214=0)),"Check amounts",IF(OR(AND(E214="Income",J214&gt;0),AND(E214="Expense",I214&gt;0),AND(E214="Transfer in",J214&gt;0),AND(E214="Transfer out",I214&gt;0)),"Check type/direction",IF(AND(OR(E214="Transfer in",E214="Transfer out"),M214=""),"Add transfer pair ID",IF(AND(OR(E214="Transfer in",E214="Transfer out"),COUNTIFS($M$7:$M$506,M214,$D$7:$D$506,D214)&lt;&gt;2),"Check transfer pair",IF(AND(E214="Expense",K214=""),"Assign budget fund",IF(AND(E214="Expense",L214=""),"Add receipt / proof",""))))))))))</x:f>
      </x:c>
    </x:row>
    <x:row r="215" ht="24" customHeight="1">
      <x:c r="A215" s="10"/>
      <x:c r="B215" s="5"/>
      <x:c r="C215" s="10"/>
      <x:c r="D215" s="10"/>
      <x:c r="E215" s="10"/>
      <x:c r="F215" s="10"/>
      <x:c r="G215" s="10"/>
      <x:c r="H215" s="10"/>
      <x:c r="I215" s="11"/>
      <x:c r="J215" s="11"/>
      <x:c r="K215" s="10"/>
      <x:c r="L215" s="10"/>
      <x:c r="M215" s="10"/>
      <x:c r="N215" s="10"/>
      <x:c r="O215" s="1" t="str">
        <x:f>IF(COUNTA(A215:N215)=0,"",IF(OR(A215="",B215="",C215="",NOT(ISNUMBER(D215)),NOT(ISNUMBER(E215))),"Complete required fields",IF(COUNTIFS($A$7:$A$506,A215)&gt;1,"Duplicate ID",IF(COUNTIFS('Accounts'!$A$7:$A$26,C215,'Accounts'!$B$7:$B$26,D215)&lt;&gt;1,"Check account/currency",IF(OR(I215&lt;0,J215&lt;0,AND(I215&gt;0,J215&gt;0),AND(I215=0,J215=0)),"Check amounts",IF(OR(AND(E215="Income",J215&gt;0),AND(E215="Expense",I215&gt;0),AND(E215="Transfer in",J215&gt;0),AND(E215="Transfer out",I215&gt;0)),"Check type/direction",IF(AND(OR(E215="Transfer in",E215="Transfer out"),M215=""),"Add transfer pair ID",IF(AND(OR(E215="Transfer in",E215="Transfer out"),COUNTIFS($M$7:$M$506,M215,$D$7:$D$506,D215)&lt;&gt;2),"Check transfer pair",IF(AND(E215="Expense",K215=""),"Assign budget fund",IF(AND(E215="Expense",L215=""),"Add receipt / proof",""))))))))))</x:f>
      </x:c>
    </x:row>
    <x:row r="216" ht="24" customHeight="1">
      <x:c r="A216" s="10"/>
      <x:c r="B216" s="5"/>
      <x:c r="C216" s="10"/>
      <x:c r="D216" s="10"/>
      <x:c r="E216" s="10"/>
      <x:c r="F216" s="10"/>
      <x:c r="G216" s="10"/>
      <x:c r="H216" s="10"/>
      <x:c r="I216" s="11"/>
      <x:c r="J216" s="11"/>
      <x:c r="K216" s="10"/>
      <x:c r="L216" s="10"/>
      <x:c r="M216" s="10"/>
      <x:c r="N216" s="10"/>
      <x:c r="O216" s="1" t="str">
        <x:f>IF(COUNTA(A216:N216)=0,"",IF(OR(A216="",B216="",C216="",NOT(ISNUMBER(D216)),NOT(ISNUMBER(E216))),"Complete required fields",IF(COUNTIFS($A$7:$A$506,A216)&gt;1,"Duplicate ID",IF(COUNTIFS('Accounts'!$A$7:$A$26,C216,'Accounts'!$B$7:$B$26,D216)&lt;&gt;1,"Check account/currency",IF(OR(I216&lt;0,J216&lt;0,AND(I216&gt;0,J216&gt;0),AND(I216=0,J216=0)),"Check amounts",IF(OR(AND(E216="Income",J216&gt;0),AND(E216="Expense",I216&gt;0),AND(E216="Transfer in",J216&gt;0),AND(E216="Transfer out",I216&gt;0)),"Check type/direction",IF(AND(OR(E216="Transfer in",E216="Transfer out"),M216=""),"Add transfer pair ID",IF(AND(OR(E216="Transfer in",E216="Transfer out"),COUNTIFS($M$7:$M$506,M216,$D$7:$D$506,D216)&lt;&gt;2),"Check transfer pair",IF(AND(E216="Expense",K216=""),"Assign budget fund",IF(AND(E216="Expense",L216=""),"Add receipt / proof",""))))))))))</x:f>
      </x:c>
    </x:row>
    <x:row r="217" ht="24" customHeight="1">
      <x:c r="A217" s="10"/>
      <x:c r="B217" s="5"/>
      <x:c r="C217" s="10"/>
      <x:c r="D217" s="10"/>
      <x:c r="E217" s="10"/>
      <x:c r="F217" s="10"/>
      <x:c r="G217" s="10"/>
      <x:c r="H217" s="10"/>
      <x:c r="I217" s="11"/>
      <x:c r="J217" s="11"/>
      <x:c r="K217" s="10"/>
      <x:c r="L217" s="10"/>
      <x:c r="M217" s="10"/>
      <x:c r="N217" s="10"/>
      <x:c r="O217" s="1" t="str">
        <x:f>IF(COUNTA(A217:N217)=0,"",IF(OR(A217="",B217="",C217="",NOT(ISNUMBER(D217)),NOT(ISNUMBER(E217))),"Complete required fields",IF(COUNTIFS($A$7:$A$506,A217)&gt;1,"Duplicate ID",IF(COUNTIFS('Accounts'!$A$7:$A$26,C217,'Accounts'!$B$7:$B$26,D217)&lt;&gt;1,"Check account/currency",IF(OR(I217&lt;0,J217&lt;0,AND(I217&gt;0,J217&gt;0),AND(I217=0,J217=0)),"Check amounts",IF(OR(AND(E217="Income",J217&gt;0),AND(E217="Expense",I217&gt;0),AND(E217="Transfer in",J217&gt;0),AND(E217="Transfer out",I217&gt;0)),"Check type/direction",IF(AND(OR(E217="Transfer in",E217="Transfer out"),M217=""),"Add transfer pair ID",IF(AND(OR(E217="Transfer in",E217="Transfer out"),COUNTIFS($M$7:$M$506,M217,$D$7:$D$506,D217)&lt;&gt;2),"Check transfer pair",IF(AND(E217="Expense",K217=""),"Assign budget fund",IF(AND(E217="Expense",L217=""),"Add receipt / proof",""))))))))))</x:f>
      </x:c>
    </x:row>
    <x:row r="218" ht="24" customHeight="1">
      <x:c r="A218" s="10"/>
      <x:c r="B218" s="5"/>
      <x:c r="C218" s="10"/>
      <x:c r="D218" s="10"/>
      <x:c r="E218" s="10"/>
      <x:c r="F218" s="10"/>
      <x:c r="G218" s="10"/>
      <x:c r="H218" s="10"/>
      <x:c r="I218" s="11"/>
      <x:c r="J218" s="11"/>
      <x:c r="K218" s="10"/>
      <x:c r="L218" s="10"/>
      <x:c r="M218" s="10"/>
      <x:c r="N218" s="10"/>
      <x:c r="O218" s="1" t="str">
        <x:f>IF(COUNTA(A218:N218)=0,"",IF(OR(A218="",B218="",C218="",NOT(ISNUMBER(D218)),NOT(ISNUMBER(E218))),"Complete required fields",IF(COUNTIFS($A$7:$A$506,A218)&gt;1,"Duplicate ID",IF(COUNTIFS('Accounts'!$A$7:$A$26,C218,'Accounts'!$B$7:$B$26,D218)&lt;&gt;1,"Check account/currency",IF(OR(I218&lt;0,J218&lt;0,AND(I218&gt;0,J218&gt;0),AND(I218=0,J218=0)),"Check amounts",IF(OR(AND(E218="Income",J218&gt;0),AND(E218="Expense",I218&gt;0),AND(E218="Transfer in",J218&gt;0),AND(E218="Transfer out",I218&gt;0)),"Check type/direction",IF(AND(OR(E218="Transfer in",E218="Transfer out"),M218=""),"Add transfer pair ID",IF(AND(OR(E218="Transfer in",E218="Transfer out"),COUNTIFS($M$7:$M$506,M218,$D$7:$D$506,D218)&lt;&gt;2),"Check transfer pair",IF(AND(E218="Expense",K218=""),"Assign budget fund",IF(AND(E218="Expense",L218=""),"Add receipt / proof",""))))))))))</x:f>
      </x:c>
    </x:row>
    <x:row r="219" ht="24" customHeight="1">
      <x:c r="A219" s="10"/>
      <x:c r="B219" s="5"/>
      <x:c r="C219" s="10"/>
      <x:c r="D219" s="10"/>
      <x:c r="E219" s="10"/>
      <x:c r="F219" s="10"/>
      <x:c r="G219" s="10"/>
      <x:c r="H219" s="10"/>
      <x:c r="I219" s="11"/>
      <x:c r="J219" s="11"/>
      <x:c r="K219" s="10"/>
      <x:c r="L219" s="10"/>
      <x:c r="M219" s="10"/>
      <x:c r="N219" s="10"/>
      <x:c r="O219" s="1" t="str">
        <x:f>IF(COUNTA(A219:N219)=0,"",IF(OR(A219="",B219="",C219="",NOT(ISNUMBER(D219)),NOT(ISNUMBER(E219))),"Complete required fields",IF(COUNTIFS($A$7:$A$506,A219)&gt;1,"Duplicate ID",IF(COUNTIFS('Accounts'!$A$7:$A$26,C219,'Accounts'!$B$7:$B$26,D219)&lt;&gt;1,"Check account/currency",IF(OR(I219&lt;0,J219&lt;0,AND(I219&gt;0,J219&gt;0),AND(I219=0,J219=0)),"Check amounts",IF(OR(AND(E219="Income",J219&gt;0),AND(E219="Expense",I219&gt;0),AND(E219="Transfer in",J219&gt;0),AND(E219="Transfer out",I219&gt;0)),"Check type/direction",IF(AND(OR(E219="Transfer in",E219="Transfer out"),M219=""),"Add transfer pair ID",IF(AND(OR(E219="Transfer in",E219="Transfer out"),COUNTIFS($M$7:$M$506,M219,$D$7:$D$506,D219)&lt;&gt;2),"Check transfer pair",IF(AND(E219="Expense",K219=""),"Assign budget fund",IF(AND(E219="Expense",L219=""),"Add receipt / proof",""))))))))))</x:f>
      </x:c>
    </x:row>
    <x:row r="220" ht="24" customHeight="1">
      <x:c r="A220" s="10"/>
      <x:c r="B220" s="5"/>
      <x:c r="C220" s="10"/>
      <x:c r="D220" s="10"/>
      <x:c r="E220" s="10"/>
      <x:c r="F220" s="10"/>
      <x:c r="G220" s="10"/>
      <x:c r="H220" s="10"/>
      <x:c r="I220" s="11"/>
      <x:c r="J220" s="11"/>
      <x:c r="K220" s="10"/>
      <x:c r="L220" s="10"/>
      <x:c r="M220" s="10"/>
      <x:c r="N220" s="10"/>
      <x:c r="O220" s="1" t="str">
        <x:f>IF(COUNTA(A220:N220)=0,"",IF(OR(A220="",B220="",C220="",NOT(ISNUMBER(D220)),NOT(ISNUMBER(E220))),"Complete required fields",IF(COUNTIFS($A$7:$A$506,A220)&gt;1,"Duplicate ID",IF(COUNTIFS('Accounts'!$A$7:$A$26,C220,'Accounts'!$B$7:$B$26,D220)&lt;&gt;1,"Check account/currency",IF(OR(I220&lt;0,J220&lt;0,AND(I220&gt;0,J220&gt;0),AND(I220=0,J220=0)),"Check amounts",IF(OR(AND(E220="Income",J220&gt;0),AND(E220="Expense",I220&gt;0),AND(E220="Transfer in",J220&gt;0),AND(E220="Transfer out",I220&gt;0)),"Check type/direction",IF(AND(OR(E220="Transfer in",E220="Transfer out"),M220=""),"Add transfer pair ID",IF(AND(OR(E220="Transfer in",E220="Transfer out"),COUNTIFS($M$7:$M$506,M220,$D$7:$D$506,D220)&lt;&gt;2),"Check transfer pair",IF(AND(E220="Expense",K220=""),"Assign budget fund",IF(AND(E220="Expense",L220=""),"Add receipt / proof",""))))))))))</x:f>
      </x:c>
    </x:row>
    <x:row r="221" ht="24" customHeight="1">
      <x:c r="A221" s="10"/>
      <x:c r="B221" s="5"/>
      <x:c r="C221" s="10"/>
      <x:c r="D221" s="10"/>
      <x:c r="E221" s="10"/>
      <x:c r="F221" s="10"/>
      <x:c r="G221" s="10"/>
      <x:c r="H221" s="10"/>
      <x:c r="I221" s="11"/>
      <x:c r="J221" s="11"/>
      <x:c r="K221" s="10"/>
      <x:c r="L221" s="10"/>
      <x:c r="M221" s="10"/>
      <x:c r="N221" s="10"/>
      <x:c r="O221" s="1" t="str">
        <x:f>IF(COUNTA(A221:N221)=0,"",IF(OR(A221="",B221="",C221="",NOT(ISNUMBER(D221)),NOT(ISNUMBER(E221))),"Complete required fields",IF(COUNTIFS($A$7:$A$506,A221)&gt;1,"Duplicate ID",IF(COUNTIFS('Accounts'!$A$7:$A$26,C221,'Accounts'!$B$7:$B$26,D221)&lt;&gt;1,"Check account/currency",IF(OR(I221&lt;0,J221&lt;0,AND(I221&gt;0,J221&gt;0),AND(I221=0,J221=0)),"Check amounts",IF(OR(AND(E221="Income",J221&gt;0),AND(E221="Expense",I221&gt;0),AND(E221="Transfer in",J221&gt;0),AND(E221="Transfer out",I221&gt;0)),"Check type/direction",IF(AND(OR(E221="Transfer in",E221="Transfer out"),M221=""),"Add transfer pair ID",IF(AND(OR(E221="Transfer in",E221="Transfer out"),COUNTIFS($M$7:$M$506,M221,$D$7:$D$506,D221)&lt;&gt;2),"Check transfer pair",IF(AND(E221="Expense",K221=""),"Assign budget fund",IF(AND(E221="Expense",L221=""),"Add receipt / proof",""))))))))))</x:f>
      </x:c>
    </x:row>
    <x:row r="222" ht="24" customHeight="1">
      <x:c r="A222" s="10"/>
      <x:c r="B222" s="5"/>
      <x:c r="C222" s="10"/>
      <x:c r="D222" s="10"/>
      <x:c r="E222" s="10"/>
      <x:c r="F222" s="10"/>
      <x:c r="G222" s="10"/>
      <x:c r="H222" s="10"/>
      <x:c r="I222" s="11"/>
      <x:c r="J222" s="11"/>
      <x:c r="K222" s="10"/>
      <x:c r="L222" s="10"/>
      <x:c r="M222" s="10"/>
      <x:c r="N222" s="10"/>
      <x:c r="O222" s="1" t="str">
        <x:f>IF(COUNTA(A222:N222)=0,"",IF(OR(A222="",B222="",C222="",NOT(ISNUMBER(D222)),NOT(ISNUMBER(E222))),"Complete required fields",IF(COUNTIFS($A$7:$A$506,A222)&gt;1,"Duplicate ID",IF(COUNTIFS('Accounts'!$A$7:$A$26,C222,'Accounts'!$B$7:$B$26,D222)&lt;&gt;1,"Check account/currency",IF(OR(I222&lt;0,J222&lt;0,AND(I222&gt;0,J222&gt;0),AND(I222=0,J222=0)),"Check amounts",IF(OR(AND(E222="Income",J222&gt;0),AND(E222="Expense",I222&gt;0),AND(E222="Transfer in",J222&gt;0),AND(E222="Transfer out",I222&gt;0)),"Check type/direction",IF(AND(OR(E222="Transfer in",E222="Transfer out"),M222=""),"Add transfer pair ID",IF(AND(OR(E222="Transfer in",E222="Transfer out"),COUNTIFS($M$7:$M$506,M222,$D$7:$D$506,D222)&lt;&gt;2),"Check transfer pair",IF(AND(E222="Expense",K222=""),"Assign budget fund",IF(AND(E222="Expense",L222=""),"Add receipt / proof",""))))))))))</x:f>
      </x:c>
    </x:row>
    <x:row r="223" ht="24" customHeight="1">
      <x:c r="A223" s="10"/>
      <x:c r="B223" s="5"/>
      <x:c r="C223" s="10"/>
      <x:c r="D223" s="10"/>
      <x:c r="E223" s="10"/>
      <x:c r="F223" s="10"/>
      <x:c r="G223" s="10"/>
      <x:c r="H223" s="10"/>
      <x:c r="I223" s="11"/>
      <x:c r="J223" s="11"/>
      <x:c r="K223" s="10"/>
      <x:c r="L223" s="10"/>
      <x:c r="M223" s="10"/>
      <x:c r="N223" s="10"/>
      <x:c r="O223" s="1" t="str">
        <x:f>IF(COUNTA(A223:N223)=0,"",IF(OR(A223="",B223="",C223="",NOT(ISNUMBER(D223)),NOT(ISNUMBER(E223))),"Complete required fields",IF(COUNTIFS($A$7:$A$506,A223)&gt;1,"Duplicate ID",IF(COUNTIFS('Accounts'!$A$7:$A$26,C223,'Accounts'!$B$7:$B$26,D223)&lt;&gt;1,"Check account/currency",IF(OR(I223&lt;0,J223&lt;0,AND(I223&gt;0,J223&gt;0),AND(I223=0,J223=0)),"Check amounts",IF(OR(AND(E223="Income",J223&gt;0),AND(E223="Expense",I223&gt;0),AND(E223="Transfer in",J223&gt;0),AND(E223="Transfer out",I223&gt;0)),"Check type/direction",IF(AND(OR(E223="Transfer in",E223="Transfer out"),M223=""),"Add transfer pair ID",IF(AND(OR(E223="Transfer in",E223="Transfer out"),COUNTIFS($M$7:$M$506,M223,$D$7:$D$506,D223)&lt;&gt;2),"Check transfer pair",IF(AND(E223="Expense",K223=""),"Assign budget fund",IF(AND(E223="Expense",L223=""),"Add receipt / proof",""))))))))))</x:f>
      </x:c>
    </x:row>
    <x:row r="224" ht="24" customHeight="1">
      <x:c r="A224" s="10"/>
      <x:c r="B224" s="5"/>
      <x:c r="C224" s="10"/>
      <x:c r="D224" s="10"/>
      <x:c r="E224" s="10"/>
      <x:c r="F224" s="10"/>
      <x:c r="G224" s="10"/>
      <x:c r="H224" s="10"/>
      <x:c r="I224" s="11"/>
      <x:c r="J224" s="11"/>
      <x:c r="K224" s="10"/>
      <x:c r="L224" s="10"/>
      <x:c r="M224" s="10"/>
      <x:c r="N224" s="10"/>
      <x:c r="O224" s="1" t="str">
        <x:f>IF(COUNTA(A224:N224)=0,"",IF(OR(A224="",B224="",C224="",NOT(ISNUMBER(D224)),NOT(ISNUMBER(E224))),"Complete required fields",IF(COUNTIFS($A$7:$A$506,A224)&gt;1,"Duplicate ID",IF(COUNTIFS('Accounts'!$A$7:$A$26,C224,'Accounts'!$B$7:$B$26,D224)&lt;&gt;1,"Check account/currency",IF(OR(I224&lt;0,J224&lt;0,AND(I224&gt;0,J224&gt;0),AND(I224=0,J224=0)),"Check amounts",IF(OR(AND(E224="Income",J224&gt;0),AND(E224="Expense",I224&gt;0),AND(E224="Transfer in",J224&gt;0),AND(E224="Transfer out",I224&gt;0)),"Check type/direction",IF(AND(OR(E224="Transfer in",E224="Transfer out"),M224=""),"Add transfer pair ID",IF(AND(OR(E224="Transfer in",E224="Transfer out"),COUNTIFS($M$7:$M$506,M224,$D$7:$D$506,D224)&lt;&gt;2),"Check transfer pair",IF(AND(E224="Expense",K224=""),"Assign budget fund",IF(AND(E224="Expense",L224=""),"Add receipt / proof",""))))))))))</x:f>
      </x:c>
    </x:row>
    <x:row r="225" ht="24" customHeight="1">
      <x:c r="A225" s="10"/>
      <x:c r="B225" s="5"/>
      <x:c r="C225" s="10"/>
      <x:c r="D225" s="10"/>
      <x:c r="E225" s="10"/>
      <x:c r="F225" s="10"/>
      <x:c r="G225" s="10"/>
      <x:c r="H225" s="10"/>
      <x:c r="I225" s="11"/>
      <x:c r="J225" s="11"/>
      <x:c r="K225" s="10"/>
      <x:c r="L225" s="10"/>
      <x:c r="M225" s="10"/>
      <x:c r="N225" s="10"/>
      <x:c r="O225" s="1" t="str">
        <x:f>IF(COUNTA(A225:N225)=0,"",IF(OR(A225="",B225="",C225="",NOT(ISNUMBER(D225)),NOT(ISNUMBER(E225))),"Complete required fields",IF(COUNTIFS($A$7:$A$506,A225)&gt;1,"Duplicate ID",IF(COUNTIFS('Accounts'!$A$7:$A$26,C225,'Accounts'!$B$7:$B$26,D225)&lt;&gt;1,"Check account/currency",IF(OR(I225&lt;0,J225&lt;0,AND(I225&gt;0,J225&gt;0),AND(I225=0,J225=0)),"Check amounts",IF(OR(AND(E225="Income",J225&gt;0),AND(E225="Expense",I225&gt;0),AND(E225="Transfer in",J225&gt;0),AND(E225="Transfer out",I225&gt;0)),"Check type/direction",IF(AND(OR(E225="Transfer in",E225="Transfer out"),M225=""),"Add transfer pair ID",IF(AND(OR(E225="Transfer in",E225="Transfer out"),COUNTIFS($M$7:$M$506,M225,$D$7:$D$506,D225)&lt;&gt;2),"Check transfer pair",IF(AND(E225="Expense",K225=""),"Assign budget fund",IF(AND(E225="Expense",L225=""),"Add receipt / proof",""))))))))))</x:f>
      </x:c>
    </x:row>
    <x:row r="226" ht="24" customHeight="1">
      <x:c r="A226" s="10"/>
      <x:c r="B226" s="5"/>
      <x:c r="C226" s="10"/>
      <x:c r="D226" s="10"/>
      <x:c r="E226" s="10"/>
      <x:c r="F226" s="10"/>
      <x:c r="G226" s="10"/>
      <x:c r="H226" s="10"/>
      <x:c r="I226" s="11"/>
      <x:c r="J226" s="11"/>
      <x:c r="K226" s="10"/>
      <x:c r="L226" s="10"/>
      <x:c r="M226" s="10"/>
      <x:c r="N226" s="10"/>
      <x:c r="O226" s="1" t="str">
        <x:f>IF(COUNTA(A226:N226)=0,"",IF(OR(A226="",B226="",C226="",NOT(ISNUMBER(D226)),NOT(ISNUMBER(E226))),"Complete required fields",IF(COUNTIFS($A$7:$A$506,A226)&gt;1,"Duplicate ID",IF(COUNTIFS('Accounts'!$A$7:$A$26,C226,'Accounts'!$B$7:$B$26,D226)&lt;&gt;1,"Check account/currency",IF(OR(I226&lt;0,J226&lt;0,AND(I226&gt;0,J226&gt;0),AND(I226=0,J226=0)),"Check amounts",IF(OR(AND(E226="Income",J226&gt;0),AND(E226="Expense",I226&gt;0),AND(E226="Transfer in",J226&gt;0),AND(E226="Transfer out",I226&gt;0)),"Check type/direction",IF(AND(OR(E226="Transfer in",E226="Transfer out"),M226=""),"Add transfer pair ID",IF(AND(OR(E226="Transfer in",E226="Transfer out"),COUNTIFS($M$7:$M$506,M226,$D$7:$D$506,D226)&lt;&gt;2),"Check transfer pair",IF(AND(E226="Expense",K226=""),"Assign budget fund",IF(AND(E226="Expense",L226=""),"Add receipt / proof",""))))))))))</x:f>
      </x:c>
    </x:row>
    <x:row r="227" ht="24" customHeight="1">
      <x:c r="A227" s="10"/>
      <x:c r="B227" s="5"/>
      <x:c r="C227" s="10"/>
      <x:c r="D227" s="10"/>
      <x:c r="E227" s="10"/>
      <x:c r="F227" s="10"/>
      <x:c r="G227" s="10"/>
      <x:c r="H227" s="10"/>
      <x:c r="I227" s="11"/>
      <x:c r="J227" s="11"/>
      <x:c r="K227" s="10"/>
      <x:c r="L227" s="10"/>
      <x:c r="M227" s="10"/>
      <x:c r="N227" s="10"/>
      <x:c r="O227" s="1" t="str">
        <x:f>IF(COUNTA(A227:N227)=0,"",IF(OR(A227="",B227="",C227="",NOT(ISNUMBER(D227)),NOT(ISNUMBER(E227))),"Complete required fields",IF(COUNTIFS($A$7:$A$506,A227)&gt;1,"Duplicate ID",IF(COUNTIFS('Accounts'!$A$7:$A$26,C227,'Accounts'!$B$7:$B$26,D227)&lt;&gt;1,"Check account/currency",IF(OR(I227&lt;0,J227&lt;0,AND(I227&gt;0,J227&gt;0),AND(I227=0,J227=0)),"Check amounts",IF(OR(AND(E227="Income",J227&gt;0),AND(E227="Expense",I227&gt;0),AND(E227="Transfer in",J227&gt;0),AND(E227="Transfer out",I227&gt;0)),"Check type/direction",IF(AND(OR(E227="Transfer in",E227="Transfer out"),M227=""),"Add transfer pair ID",IF(AND(OR(E227="Transfer in",E227="Transfer out"),COUNTIFS($M$7:$M$506,M227,$D$7:$D$506,D227)&lt;&gt;2),"Check transfer pair",IF(AND(E227="Expense",K227=""),"Assign budget fund",IF(AND(E227="Expense",L227=""),"Add receipt / proof",""))))))))))</x:f>
      </x:c>
    </x:row>
    <x:row r="228" ht="24" customHeight="1">
      <x:c r="A228" s="10"/>
      <x:c r="B228" s="5"/>
      <x:c r="C228" s="10"/>
      <x:c r="D228" s="10"/>
      <x:c r="E228" s="10"/>
      <x:c r="F228" s="10"/>
      <x:c r="G228" s="10"/>
      <x:c r="H228" s="10"/>
      <x:c r="I228" s="11"/>
      <x:c r="J228" s="11"/>
      <x:c r="K228" s="10"/>
      <x:c r="L228" s="10"/>
      <x:c r="M228" s="10"/>
      <x:c r="N228" s="10"/>
      <x:c r="O228" s="1" t="str">
        <x:f>IF(COUNTA(A228:N228)=0,"",IF(OR(A228="",B228="",C228="",NOT(ISNUMBER(D228)),NOT(ISNUMBER(E228))),"Complete required fields",IF(COUNTIFS($A$7:$A$506,A228)&gt;1,"Duplicate ID",IF(COUNTIFS('Accounts'!$A$7:$A$26,C228,'Accounts'!$B$7:$B$26,D228)&lt;&gt;1,"Check account/currency",IF(OR(I228&lt;0,J228&lt;0,AND(I228&gt;0,J228&gt;0),AND(I228=0,J228=0)),"Check amounts",IF(OR(AND(E228="Income",J228&gt;0),AND(E228="Expense",I228&gt;0),AND(E228="Transfer in",J228&gt;0),AND(E228="Transfer out",I228&gt;0)),"Check type/direction",IF(AND(OR(E228="Transfer in",E228="Transfer out"),M228=""),"Add transfer pair ID",IF(AND(OR(E228="Transfer in",E228="Transfer out"),COUNTIFS($M$7:$M$506,M228,$D$7:$D$506,D228)&lt;&gt;2),"Check transfer pair",IF(AND(E228="Expense",K228=""),"Assign budget fund",IF(AND(E228="Expense",L228=""),"Add receipt / proof",""))))))))))</x:f>
      </x:c>
    </x:row>
    <x:row r="229" ht="24" customHeight="1">
      <x:c r="A229" s="10"/>
      <x:c r="B229" s="5"/>
      <x:c r="C229" s="10"/>
      <x:c r="D229" s="10"/>
      <x:c r="E229" s="10"/>
      <x:c r="F229" s="10"/>
      <x:c r="G229" s="10"/>
      <x:c r="H229" s="10"/>
      <x:c r="I229" s="11"/>
      <x:c r="J229" s="11"/>
      <x:c r="K229" s="10"/>
      <x:c r="L229" s="10"/>
      <x:c r="M229" s="10"/>
      <x:c r="N229" s="10"/>
      <x:c r="O229" s="1" t="str">
        <x:f>IF(COUNTA(A229:N229)=0,"",IF(OR(A229="",B229="",C229="",NOT(ISNUMBER(D229)),NOT(ISNUMBER(E229))),"Complete required fields",IF(COUNTIFS($A$7:$A$506,A229)&gt;1,"Duplicate ID",IF(COUNTIFS('Accounts'!$A$7:$A$26,C229,'Accounts'!$B$7:$B$26,D229)&lt;&gt;1,"Check account/currency",IF(OR(I229&lt;0,J229&lt;0,AND(I229&gt;0,J229&gt;0),AND(I229=0,J229=0)),"Check amounts",IF(OR(AND(E229="Income",J229&gt;0),AND(E229="Expense",I229&gt;0),AND(E229="Transfer in",J229&gt;0),AND(E229="Transfer out",I229&gt;0)),"Check type/direction",IF(AND(OR(E229="Transfer in",E229="Transfer out"),M229=""),"Add transfer pair ID",IF(AND(OR(E229="Transfer in",E229="Transfer out"),COUNTIFS($M$7:$M$506,M229,$D$7:$D$506,D229)&lt;&gt;2),"Check transfer pair",IF(AND(E229="Expense",K229=""),"Assign budget fund",IF(AND(E229="Expense",L229=""),"Add receipt / proof",""))))))))))</x:f>
      </x:c>
    </x:row>
    <x:row r="230" ht="24" customHeight="1">
      <x:c r="A230" s="10"/>
      <x:c r="B230" s="5"/>
      <x:c r="C230" s="10"/>
      <x:c r="D230" s="10"/>
      <x:c r="E230" s="10"/>
      <x:c r="F230" s="10"/>
      <x:c r="G230" s="10"/>
      <x:c r="H230" s="10"/>
      <x:c r="I230" s="11"/>
      <x:c r="J230" s="11"/>
      <x:c r="K230" s="10"/>
      <x:c r="L230" s="10"/>
      <x:c r="M230" s="10"/>
      <x:c r="N230" s="10"/>
      <x:c r="O230" s="1" t="str">
        <x:f>IF(COUNTA(A230:N230)=0,"",IF(OR(A230="",B230="",C230="",NOT(ISNUMBER(D230)),NOT(ISNUMBER(E230))),"Complete required fields",IF(COUNTIFS($A$7:$A$506,A230)&gt;1,"Duplicate ID",IF(COUNTIFS('Accounts'!$A$7:$A$26,C230,'Accounts'!$B$7:$B$26,D230)&lt;&gt;1,"Check account/currency",IF(OR(I230&lt;0,J230&lt;0,AND(I230&gt;0,J230&gt;0),AND(I230=0,J230=0)),"Check amounts",IF(OR(AND(E230="Income",J230&gt;0),AND(E230="Expense",I230&gt;0),AND(E230="Transfer in",J230&gt;0),AND(E230="Transfer out",I230&gt;0)),"Check type/direction",IF(AND(OR(E230="Transfer in",E230="Transfer out"),M230=""),"Add transfer pair ID",IF(AND(OR(E230="Transfer in",E230="Transfer out"),COUNTIFS($M$7:$M$506,M230,$D$7:$D$506,D230)&lt;&gt;2),"Check transfer pair",IF(AND(E230="Expense",K230=""),"Assign budget fund",IF(AND(E230="Expense",L230=""),"Add receipt / proof",""))))))))))</x:f>
      </x:c>
    </x:row>
    <x:row r="231" ht="24" customHeight="1">
      <x:c r="A231" s="10"/>
      <x:c r="B231" s="5"/>
      <x:c r="C231" s="10"/>
      <x:c r="D231" s="10"/>
      <x:c r="E231" s="10"/>
      <x:c r="F231" s="10"/>
      <x:c r="G231" s="10"/>
      <x:c r="H231" s="10"/>
      <x:c r="I231" s="11"/>
      <x:c r="J231" s="11"/>
      <x:c r="K231" s="10"/>
      <x:c r="L231" s="10"/>
      <x:c r="M231" s="10"/>
      <x:c r="N231" s="10"/>
      <x:c r="O231" s="1" t="str">
        <x:f>IF(COUNTA(A231:N231)=0,"",IF(OR(A231="",B231="",C231="",NOT(ISNUMBER(D231)),NOT(ISNUMBER(E231))),"Complete required fields",IF(COUNTIFS($A$7:$A$506,A231)&gt;1,"Duplicate ID",IF(COUNTIFS('Accounts'!$A$7:$A$26,C231,'Accounts'!$B$7:$B$26,D231)&lt;&gt;1,"Check account/currency",IF(OR(I231&lt;0,J231&lt;0,AND(I231&gt;0,J231&gt;0),AND(I231=0,J231=0)),"Check amounts",IF(OR(AND(E231="Income",J231&gt;0),AND(E231="Expense",I231&gt;0),AND(E231="Transfer in",J231&gt;0),AND(E231="Transfer out",I231&gt;0)),"Check type/direction",IF(AND(OR(E231="Transfer in",E231="Transfer out"),M231=""),"Add transfer pair ID",IF(AND(OR(E231="Transfer in",E231="Transfer out"),COUNTIFS($M$7:$M$506,M231,$D$7:$D$506,D231)&lt;&gt;2),"Check transfer pair",IF(AND(E231="Expense",K231=""),"Assign budget fund",IF(AND(E231="Expense",L231=""),"Add receipt / proof",""))))))))))</x:f>
      </x:c>
    </x:row>
    <x:row r="232" ht="24" customHeight="1">
      <x:c r="A232" s="10"/>
      <x:c r="B232" s="5"/>
      <x:c r="C232" s="10"/>
      <x:c r="D232" s="10"/>
      <x:c r="E232" s="10"/>
      <x:c r="F232" s="10"/>
      <x:c r="G232" s="10"/>
      <x:c r="H232" s="10"/>
      <x:c r="I232" s="11"/>
      <x:c r="J232" s="11"/>
      <x:c r="K232" s="10"/>
      <x:c r="L232" s="10"/>
      <x:c r="M232" s="10"/>
      <x:c r="N232" s="10"/>
      <x:c r="O232" s="1" t="str">
        <x:f>IF(COUNTA(A232:N232)=0,"",IF(OR(A232="",B232="",C232="",NOT(ISNUMBER(D232)),NOT(ISNUMBER(E232))),"Complete required fields",IF(COUNTIFS($A$7:$A$506,A232)&gt;1,"Duplicate ID",IF(COUNTIFS('Accounts'!$A$7:$A$26,C232,'Accounts'!$B$7:$B$26,D232)&lt;&gt;1,"Check account/currency",IF(OR(I232&lt;0,J232&lt;0,AND(I232&gt;0,J232&gt;0),AND(I232=0,J232=0)),"Check amounts",IF(OR(AND(E232="Income",J232&gt;0),AND(E232="Expense",I232&gt;0),AND(E232="Transfer in",J232&gt;0),AND(E232="Transfer out",I232&gt;0)),"Check type/direction",IF(AND(OR(E232="Transfer in",E232="Transfer out"),M232=""),"Add transfer pair ID",IF(AND(OR(E232="Transfer in",E232="Transfer out"),COUNTIFS($M$7:$M$506,M232,$D$7:$D$506,D232)&lt;&gt;2),"Check transfer pair",IF(AND(E232="Expense",K232=""),"Assign budget fund",IF(AND(E232="Expense",L232=""),"Add receipt / proof",""))))))))))</x:f>
      </x:c>
    </x:row>
    <x:row r="233" ht="24" customHeight="1">
      <x:c r="A233" s="10"/>
      <x:c r="B233" s="5"/>
      <x:c r="C233" s="10"/>
      <x:c r="D233" s="10"/>
      <x:c r="E233" s="10"/>
      <x:c r="F233" s="10"/>
      <x:c r="G233" s="10"/>
      <x:c r="H233" s="10"/>
      <x:c r="I233" s="11"/>
      <x:c r="J233" s="11"/>
      <x:c r="K233" s="10"/>
      <x:c r="L233" s="10"/>
      <x:c r="M233" s="10"/>
      <x:c r="N233" s="10"/>
      <x:c r="O233" s="1" t="str">
        <x:f>IF(COUNTA(A233:N233)=0,"",IF(OR(A233="",B233="",C233="",NOT(ISNUMBER(D233)),NOT(ISNUMBER(E233))),"Complete required fields",IF(COUNTIFS($A$7:$A$506,A233)&gt;1,"Duplicate ID",IF(COUNTIFS('Accounts'!$A$7:$A$26,C233,'Accounts'!$B$7:$B$26,D233)&lt;&gt;1,"Check account/currency",IF(OR(I233&lt;0,J233&lt;0,AND(I233&gt;0,J233&gt;0),AND(I233=0,J233=0)),"Check amounts",IF(OR(AND(E233="Income",J233&gt;0),AND(E233="Expense",I233&gt;0),AND(E233="Transfer in",J233&gt;0),AND(E233="Transfer out",I233&gt;0)),"Check type/direction",IF(AND(OR(E233="Transfer in",E233="Transfer out"),M233=""),"Add transfer pair ID",IF(AND(OR(E233="Transfer in",E233="Transfer out"),COUNTIFS($M$7:$M$506,M233,$D$7:$D$506,D233)&lt;&gt;2),"Check transfer pair",IF(AND(E233="Expense",K233=""),"Assign budget fund",IF(AND(E233="Expense",L233=""),"Add receipt / proof",""))))))))))</x:f>
      </x:c>
    </x:row>
    <x:row r="234" ht="24" customHeight="1">
      <x:c r="A234" s="10"/>
      <x:c r="B234" s="5"/>
      <x:c r="C234" s="10"/>
      <x:c r="D234" s="10"/>
      <x:c r="E234" s="10"/>
      <x:c r="F234" s="10"/>
      <x:c r="G234" s="10"/>
      <x:c r="H234" s="10"/>
      <x:c r="I234" s="11"/>
      <x:c r="J234" s="11"/>
      <x:c r="K234" s="10"/>
      <x:c r="L234" s="10"/>
      <x:c r="M234" s="10"/>
      <x:c r="N234" s="10"/>
      <x:c r="O234" s="1" t="str">
        <x:f>IF(COUNTA(A234:N234)=0,"",IF(OR(A234="",B234="",C234="",NOT(ISNUMBER(D234)),NOT(ISNUMBER(E234))),"Complete required fields",IF(COUNTIFS($A$7:$A$506,A234)&gt;1,"Duplicate ID",IF(COUNTIFS('Accounts'!$A$7:$A$26,C234,'Accounts'!$B$7:$B$26,D234)&lt;&gt;1,"Check account/currency",IF(OR(I234&lt;0,J234&lt;0,AND(I234&gt;0,J234&gt;0),AND(I234=0,J234=0)),"Check amounts",IF(OR(AND(E234="Income",J234&gt;0),AND(E234="Expense",I234&gt;0),AND(E234="Transfer in",J234&gt;0),AND(E234="Transfer out",I234&gt;0)),"Check type/direction",IF(AND(OR(E234="Transfer in",E234="Transfer out"),M234=""),"Add transfer pair ID",IF(AND(OR(E234="Transfer in",E234="Transfer out"),COUNTIFS($M$7:$M$506,M234,$D$7:$D$506,D234)&lt;&gt;2),"Check transfer pair",IF(AND(E234="Expense",K234=""),"Assign budget fund",IF(AND(E234="Expense",L234=""),"Add receipt / proof",""))))))))))</x:f>
      </x:c>
    </x:row>
    <x:row r="235" ht="24" customHeight="1">
      <x:c r="A235" s="10"/>
      <x:c r="B235" s="5"/>
      <x:c r="C235" s="10"/>
      <x:c r="D235" s="10"/>
      <x:c r="E235" s="10"/>
      <x:c r="F235" s="10"/>
      <x:c r="G235" s="10"/>
      <x:c r="H235" s="10"/>
      <x:c r="I235" s="11"/>
      <x:c r="J235" s="11"/>
      <x:c r="K235" s="10"/>
      <x:c r="L235" s="10"/>
      <x:c r="M235" s="10"/>
      <x:c r="N235" s="10"/>
      <x:c r="O235" s="1" t="str">
        <x:f>IF(COUNTA(A235:N235)=0,"",IF(OR(A235="",B235="",C235="",NOT(ISNUMBER(D235)),NOT(ISNUMBER(E235))),"Complete required fields",IF(COUNTIFS($A$7:$A$506,A235)&gt;1,"Duplicate ID",IF(COUNTIFS('Accounts'!$A$7:$A$26,C235,'Accounts'!$B$7:$B$26,D235)&lt;&gt;1,"Check account/currency",IF(OR(I235&lt;0,J235&lt;0,AND(I235&gt;0,J235&gt;0),AND(I235=0,J235=0)),"Check amounts",IF(OR(AND(E235="Income",J235&gt;0),AND(E235="Expense",I235&gt;0),AND(E235="Transfer in",J235&gt;0),AND(E235="Transfer out",I235&gt;0)),"Check type/direction",IF(AND(OR(E235="Transfer in",E235="Transfer out"),M235=""),"Add transfer pair ID",IF(AND(OR(E235="Transfer in",E235="Transfer out"),COUNTIFS($M$7:$M$506,M235,$D$7:$D$506,D235)&lt;&gt;2),"Check transfer pair",IF(AND(E235="Expense",K235=""),"Assign budget fund",IF(AND(E235="Expense",L235=""),"Add receipt / proof",""))))))))))</x:f>
      </x:c>
    </x:row>
    <x:row r="236" ht="24" customHeight="1">
      <x:c r="A236" s="10"/>
      <x:c r="B236" s="5"/>
      <x:c r="C236" s="10"/>
      <x:c r="D236" s="10"/>
      <x:c r="E236" s="10"/>
      <x:c r="F236" s="10"/>
      <x:c r="G236" s="10"/>
      <x:c r="H236" s="10"/>
      <x:c r="I236" s="11"/>
      <x:c r="J236" s="11"/>
      <x:c r="K236" s="10"/>
      <x:c r="L236" s="10"/>
      <x:c r="M236" s="10"/>
      <x:c r="N236" s="10"/>
      <x:c r="O236" s="1" t="str">
        <x:f>IF(COUNTA(A236:N236)=0,"",IF(OR(A236="",B236="",C236="",NOT(ISNUMBER(D236)),NOT(ISNUMBER(E236))),"Complete required fields",IF(COUNTIFS($A$7:$A$506,A236)&gt;1,"Duplicate ID",IF(COUNTIFS('Accounts'!$A$7:$A$26,C236,'Accounts'!$B$7:$B$26,D236)&lt;&gt;1,"Check account/currency",IF(OR(I236&lt;0,J236&lt;0,AND(I236&gt;0,J236&gt;0),AND(I236=0,J236=0)),"Check amounts",IF(OR(AND(E236="Income",J236&gt;0),AND(E236="Expense",I236&gt;0),AND(E236="Transfer in",J236&gt;0),AND(E236="Transfer out",I236&gt;0)),"Check type/direction",IF(AND(OR(E236="Transfer in",E236="Transfer out"),M236=""),"Add transfer pair ID",IF(AND(OR(E236="Transfer in",E236="Transfer out"),COUNTIFS($M$7:$M$506,M236,$D$7:$D$506,D236)&lt;&gt;2),"Check transfer pair",IF(AND(E236="Expense",K236=""),"Assign budget fund",IF(AND(E236="Expense",L236=""),"Add receipt / proof",""))))))))))</x:f>
      </x:c>
    </x:row>
    <x:row r="237" ht="24" customHeight="1">
      <x:c r="A237" s="10"/>
      <x:c r="B237" s="5"/>
      <x:c r="C237" s="10"/>
      <x:c r="D237" s="10"/>
      <x:c r="E237" s="10"/>
      <x:c r="F237" s="10"/>
      <x:c r="G237" s="10"/>
      <x:c r="H237" s="10"/>
      <x:c r="I237" s="11"/>
      <x:c r="J237" s="11"/>
      <x:c r="K237" s="10"/>
      <x:c r="L237" s="10"/>
      <x:c r="M237" s="10"/>
      <x:c r="N237" s="10"/>
      <x:c r="O237" s="1" t="str">
        <x:f>IF(COUNTA(A237:N237)=0,"",IF(OR(A237="",B237="",C237="",NOT(ISNUMBER(D237)),NOT(ISNUMBER(E237))),"Complete required fields",IF(COUNTIFS($A$7:$A$506,A237)&gt;1,"Duplicate ID",IF(COUNTIFS('Accounts'!$A$7:$A$26,C237,'Accounts'!$B$7:$B$26,D237)&lt;&gt;1,"Check account/currency",IF(OR(I237&lt;0,J237&lt;0,AND(I237&gt;0,J237&gt;0),AND(I237=0,J237=0)),"Check amounts",IF(OR(AND(E237="Income",J237&gt;0),AND(E237="Expense",I237&gt;0),AND(E237="Transfer in",J237&gt;0),AND(E237="Transfer out",I237&gt;0)),"Check type/direction",IF(AND(OR(E237="Transfer in",E237="Transfer out"),M237=""),"Add transfer pair ID",IF(AND(OR(E237="Transfer in",E237="Transfer out"),COUNTIFS($M$7:$M$506,M237,$D$7:$D$506,D237)&lt;&gt;2),"Check transfer pair",IF(AND(E237="Expense",K237=""),"Assign budget fund",IF(AND(E237="Expense",L237=""),"Add receipt / proof",""))))))))))</x:f>
      </x:c>
    </x:row>
    <x:row r="238" ht="24" customHeight="1">
      <x:c r="A238" s="10"/>
      <x:c r="B238" s="5"/>
      <x:c r="C238" s="10"/>
      <x:c r="D238" s="10"/>
      <x:c r="E238" s="10"/>
      <x:c r="F238" s="10"/>
      <x:c r="G238" s="10"/>
      <x:c r="H238" s="10"/>
      <x:c r="I238" s="11"/>
      <x:c r="J238" s="11"/>
      <x:c r="K238" s="10"/>
      <x:c r="L238" s="10"/>
      <x:c r="M238" s="10"/>
      <x:c r="N238" s="10"/>
      <x:c r="O238" s="1" t="str">
        <x:f>IF(COUNTA(A238:N238)=0,"",IF(OR(A238="",B238="",C238="",NOT(ISNUMBER(D238)),NOT(ISNUMBER(E238))),"Complete required fields",IF(COUNTIFS($A$7:$A$506,A238)&gt;1,"Duplicate ID",IF(COUNTIFS('Accounts'!$A$7:$A$26,C238,'Accounts'!$B$7:$B$26,D238)&lt;&gt;1,"Check account/currency",IF(OR(I238&lt;0,J238&lt;0,AND(I238&gt;0,J238&gt;0),AND(I238=0,J238=0)),"Check amounts",IF(OR(AND(E238="Income",J238&gt;0),AND(E238="Expense",I238&gt;0),AND(E238="Transfer in",J238&gt;0),AND(E238="Transfer out",I238&gt;0)),"Check type/direction",IF(AND(OR(E238="Transfer in",E238="Transfer out"),M238=""),"Add transfer pair ID",IF(AND(OR(E238="Transfer in",E238="Transfer out"),COUNTIFS($M$7:$M$506,M238,$D$7:$D$506,D238)&lt;&gt;2),"Check transfer pair",IF(AND(E238="Expense",K238=""),"Assign budget fund",IF(AND(E238="Expense",L238=""),"Add receipt / proof",""))))))))))</x:f>
      </x:c>
    </x:row>
    <x:row r="239" ht="24" customHeight="1">
      <x:c r="A239" s="10"/>
      <x:c r="B239" s="5"/>
      <x:c r="C239" s="10"/>
      <x:c r="D239" s="10"/>
      <x:c r="E239" s="10"/>
      <x:c r="F239" s="10"/>
      <x:c r="G239" s="10"/>
      <x:c r="H239" s="10"/>
      <x:c r="I239" s="11"/>
      <x:c r="J239" s="11"/>
      <x:c r="K239" s="10"/>
      <x:c r="L239" s="10"/>
      <x:c r="M239" s="10"/>
      <x:c r="N239" s="10"/>
      <x:c r="O239" s="1" t="str">
        <x:f>IF(COUNTA(A239:N239)=0,"",IF(OR(A239="",B239="",C239="",NOT(ISNUMBER(D239)),NOT(ISNUMBER(E239))),"Complete required fields",IF(COUNTIFS($A$7:$A$506,A239)&gt;1,"Duplicate ID",IF(COUNTIFS('Accounts'!$A$7:$A$26,C239,'Accounts'!$B$7:$B$26,D239)&lt;&gt;1,"Check account/currency",IF(OR(I239&lt;0,J239&lt;0,AND(I239&gt;0,J239&gt;0),AND(I239=0,J239=0)),"Check amounts",IF(OR(AND(E239="Income",J239&gt;0),AND(E239="Expense",I239&gt;0),AND(E239="Transfer in",J239&gt;0),AND(E239="Transfer out",I239&gt;0)),"Check type/direction",IF(AND(OR(E239="Transfer in",E239="Transfer out"),M239=""),"Add transfer pair ID",IF(AND(OR(E239="Transfer in",E239="Transfer out"),COUNTIFS($M$7:$M$506,M239,$D$7:$D$506,D239)&lt;&gt;2),"Check transfer pair",IF(AND(E239="Expense",K239=""),"Assign budget fund",IF(AND(E239="Expense",L239=""),"Add receipt / proof",""))))))))))</x:f>
      </x:c>
    </x:row>
    <x:row r="240" ht="24" customHeight="1">
      <x:c r="A240" s="10"/>
      <x:c r="B240" s="5"/>
      <x:c r="C240" s="10"/>
      <x:c r="D240" s="10"/>
      <x:c r="E240" s="10"/>
      <x:c r="F240" s="10"/>
      <x:c r="G240" s="10"/>
      <x:c r="H240" s="10"/>
      <x:c r="I240" s="11"/>
      <x:c r="J240" s="11"/>
      <x:c r="K240" s="10"/>
      <x:c r="L240" s="10"/>
      <x:c r="M240" s="10"/>
      <x:c r="N240" s="10"/>
      <x:c r="O240" s="1" t="str">
        <x:f>IF(COUNTA(A240:N240)=0,"",IF(OR(A240="",B240="",C240="",NOT(ISNUMBER(D240)),NOT(ISNUMBER(E240))),"Complete required fields",IF(COUNTIFS($A$7:$A$506,A240)&gt;1,"Duplicate ID",IF(COUNTIFS('Accounts'!$A$7:$A$26,C240,'Accounts'!$B$7:$B$26,D240)&lt;&gt;1,"Check account/currency",IF(OR(I240&lt;0,J240&lt;0,AND(I240&gt;0,J240&gt;0),AND(I240=0,J240=0)),"Check amounts",IF(OR(AND(E240="Income",J240&gt;0),AND(E240="Expense",I240&gt;0),AND(E240="Transfer in",J240&gt;0),AND(E240="Transfer out",I240&gt;0)),"Check type/direction",IF(AND(OR(E240="Transfer in",E240="Transfer out"),M240=""),"Add transfer pair ID",IF(AND(OR(E240="Transfer in",E240="Transfer out"),COUNTIFS($M$7:$M$506,M240,$D$7:$D$506,D240)&lt;&gt;2),"Check transfer pair",IF(AND(E240="Expense",K240=""),"Assign budget fund",IF(AND(E240="Expense",L240=""),"Add receipt / proof",""))))))))))</x:f>
      </x:c>
    </x:row>
    <x:row r="241" ht="24" customHeight="1">
      <x:c r="A241" s="10"/>
      <x:c r="B241" s="5"/>
      <x:c r="C241" s="10"/>
      <x:c r="D241" s="10"/>
      <x:c r="E241" s="10"/>
      <x:c r="F241" s="10"/>
      <x:c r="G241" s="10"/>
      <x:c r="H241" s="10"/>
      <x:c r="I241" s="11"/>
      <x:c r="J241" s="11"/>
      <x:c r="K241" s="10"/>
      <x:c r="L241" s="10"/>
      <x:c r="M241" s="10"/>
      <x:c r="N241" s="10"/>
      <x:c r="O241" s="1" t="str">
        <x:f>IF(COUNTA(A241:N241)=0,"",IF(OR(A241="",B241="",C241="",NOT(ISNUMBER(D241)),NOT(ISNUMBER(E241))),"Complete required fields",IF(COUNTIFS($A$7:$A$506,A241)&gt;1,"Duplicate ID",IF(COUNTIFS('Accounts'!$A$7:$A$26,C241,'Accounts'!$B$7:$B$26,D241)&lt;&gt;1,"Check account/currency",IF(OR(I241&lt;0,J241&lt;0,AND(I241&gt;0,J241&gt;0),AND(I241=0,J241=0)),"Check amounts",IF(OR(AND(E241="Income",J241&gt;0),AND(E241="Expense",I241&gt;0),AND(E241="Transfer in",J241&gt;0),AND(E241="Transfer out",I241&gt;0)),"Check type/direction",IF(AND(OR(E241="Transfer in",E241="Transfer out"),M241=""),"Add transfer pair ID",IF(AND(OR(E241="Transfer in",E241="Transfer out"),COUNTIFS($M$7:$M$506,M241,$D$7:$D$506,D241)&lt;&gt;2),"Check transfer pair",IF(AND(E241="Expense",K241=""),"Assign budget fund",IF(AND(E241="Expense",L241=""),"Add receipt / proof",""))))))))))</x:f>
      </x:c>
    </x:row>
    <x:row r="242" ht="24" customHeight="1">
      <x:c r="A242" s="10"/>
      <x:c r="B242" s="5"/>
      <x:c r="C242" s="10"/>
      <x:c r="D242" s="10"/>
      <x:c r="E242" s="10"/>
      <x:c r="F242" s="10"/>
      <x:c r="G242" s="10"/>
      <x:c r="H242" s="10"/>
      <x:c r="I242" s="11"/>
      <x:c r="J242" s="11"/>
      <x:c r="K242" s="10"/>
      <x:c r="L242" s="10"/>
      <x:c r="M242" s="10"/>
      <x:c r="N242" s="10"/>
      <x:c r="O242" s="1" t="str">
        <x:f>IF(COUNTA(A242:N242)=0,"",IF(OR(A242="",B242="",C242="",NOT(ISNUMBER(D242)),NOT(ISNUMBER(E242))),"Complete required fields",IF(COUNTIFS($A$7:$A$506,A242)&gt;1,"Duplicate ID",IF(COUNTIFS('Accounts'!$A$7:$A$26,C242,'Accounts'!$B$7:$B$26,D242)&lt;&gt;1,"Check account/currency",IF(OR(I242&lt;0,J242&lt;0,AND(I242&gt;0,J242&gt;0),AND(I242=0,J242=0)),"Check amounts",IF(OR(AND(E242="Income",J242&gt;0),AND(E242="Expense",I242&gt;0),AND(E242="Transfer in",J242&gt;0),AND(E242="Transfer out",I242&gt;0)),"Check type/direction",IF(AND(OR(E242="Transfer in",E242="Transfer out"),M242=""),"Add transfer pair ID",IF(AND(OR(E242="Transfer in",E242="Transfer out"),COUNTIFS($M$7:$M$506,M242,$D$7:$D$506,D242)&lt;&gt;2),"Check transfer pair",IF(AND(E242="Expense",K242=""),"Assign budget fund",IF(AND(E242="Expense",L242=""),"Add receipt / proof",""))))))))))</x:f>
      </x:c>
    </x:row>
    <x:row r="243" ht="24" customHeight="1">
      <x:c r="A243" s="10"/>
      <x:c r="B243" s="5"/>
      <x:c r="C243" s="10"/>
      <x:c r="D243" s="10"/>
      <x:c r="E243" s="10"/>
      <x:c r="F243" s="10"/>
      <x:c r="G243" s="10"/>
      <x:c r="H243" s="10"/>
      <x:c r="I243" s="11"/>
      <x:c r="J243" s="11"/>
      <x:c r="K243" s="10"/>
      <x:c r="L243" s="10"/>
      <x:c r="M243" s="10"/>
      <x:c r="N243" s="10"/>
      <x:c r="O243" s="1" t="str">
        <x:f>IF(COUNTA(A243:N243)=0,"",IF(OR(A243="",B243="",C243="",NOT(ISNUMBER(D243)),NOT(ISNUMBER(E243))),"Complete required fields",IF(COUNTIFS($A$7:$A$506,A243)&gt;1,"Duplicate ID",IF(COUNTIFS('Accounts'!$A$7:$A$26,C243,'Accounts'!$B$7:$B$26,D243)&lt;&gt;1,"Check account/currency",IF(OR(I243&lt;0,J243&lt;0,AND(I243&gt;0,J243&gt;0),AND(I243=0,J243=0)),"Check amounts",IF(OR(AND(E243="Income",J243&gt;0),AND(E243="Expense",I243&gt;0),AND(E243="Transfer in",J243&gt;0),AND(E243="Transfer out",I243&gt;0)),"Check type/direction",IF(AND(OR(E243="Transfer in",E243="Transfer out"),M243=""),"Add transfer pair ID",IF(AND(OR(E243="Transfer in",E243="Transfer out"),COUNTIFS($M$7:$M$506,M243,$D$7:$D$506,D243)&lt;&gt;2),"Check transfer pair",IF(AND(E243="Expense",K243=""),"Assign budget fund",IF(AND(E243="Expense",L243=""),"Add receipt / proof",""))))))))))</x:f>
      </x:c>
    </x:row>
    <x:row r="244" ht="24" customHeight="1">
      <x:c r="A244" s="10"/>
      <x:c r="B244" s="5"/>
      <x:c r="C244" s="10"/>
      <x:c r="D244" s="10"/>
      <x:c r="E244" s="10"/>
      <x:c r="F244" s="10"/>
      <x:c r="G244" s="10"/>
      <x:c r="H244" s="10"/>
      <x:c r="I244" s="11"/>
      <x:c r="J244" s="11"/>
      <x:c r="K244" s="10"/>
      <x:c r="L244" s="10"/>
      <x:c r="M244" s="10"/>
      <x:c r="N244" s="10"/>
      <x:c r="O244" s="1" t="str">
        <x:f>IF(COUNTA(A244:N244)=0,"",IF(OR(A244="",B244="",C244="",NOT(ISNUMBER(D244)),NOT(ISNUMBER(E244))),"Complete required fields",IF(COUNTIFS($A$7:$A$506,A244)&gt;1,"Duplicate ID",IF(COUNTIFS('Accounts'!$A$7:$A$26,C244,'Accounts'!$B$7:$B$26,D244)&lt;&gt;1,"Check account/currency",IF(OR(I244&lt;0,J244&lt;0,AND(I244&gt;0,J244&gt;0),AND(I244=0,J244=0)),"Check amounts",IF(OR(AND(E244="Income",J244&gt;0),AND(E244="Expense",I244&gt;0),AND(E244="Transfer in",J244&gt;0),AND(E244="Transfer out",I244&gt;0)),"Check type/direction",IF(AND(OR(E244="Transfer in",E244="Transfer out"),M244=""),"Add transfer pair ID",IF(AND(OR(E244="Transfer in",E244="Transfer out"),COUNTIFS($M$7:$M$506,M244,$D$7:$D$506,D244)&lt;&gt;2),"Check transfer pair",IF(AND(E244="Expense",K244=""),"Assign budget fund",IF(AND(E244="Expense",L244=""),"Add receipt / proof",""))))))))))</x:f>
      </x:c>
    </x:row>
    <x:row r="245" ht="24" customHeight="1">
      <x:c r="A245" s="10"/>
      <x:c r="B245" s="5"/>
      <x:c r="C245" s="10"/>
      <x:c r="D245" s="10"/>
      <x:c r="E245" s="10"/>
      <x:c r="F245" s="10"/>
      <x:c r="G245" s="10"/>
      <x:c r="H245" s="10"/>
      <x:c r="I245" s="11"/>
      <x:c r="J245" s="11"/>
      <x:c r="K245" s="10"/>
      <x:c r="L245" s="10"/>
      <x:c r="M245" s="10"/>
      <x:c r="N245" s="10"/>
      <x:c r="O245" s="1" t="str">
        <x:f>IF(COUNTA(A245:N245)=0,"",IF(OR(A245="",B245="",C245="",NOT(ISNUMBER(D245)),NOT(ISNUMBER(E245))),"Complete required fields",IF(COUNTIFS($A$7:$A$506,A245)&gt;1,"Duplicate ID",IF(COUNTIFS('Accounts'!$A$7:$A$26,C245,'Accounts'!$B$7:$B$26,D245)&lt;&gt;1,"Check account/currency",IF(OR(I245&lt;0,J245&lt;0,AND(I245&gt;0,J245&gt;0),AND(I245=0,J245=0)),"Check amounts",IF(OR(AND(E245="Income",J245&gt;0),AND(E245="Expense",I245&gt;0),AND(E245="Transfer in",J245&gt;0),AND(E245="Transfer out",I245&gt;0)),"Check type/direction",IF(AND(OR(E245="Transfer in",E245="Transfer out"),M245=""),"Add transfer pair ID",IF(AND(OR(E245="Transfer in",E245="Transfer out"),COUNTIFS($M$7:$M$506,M245,$D$7:$D$506,D245)&lt;&gt;2),"Check transfer pair",IF(AND(E245="Expense",K245=""),"Assign budget fund",IF(AND(E245="Expense",L245=""),"Add receipt / proof",""))))))))))</x:f>
      </x:c>
    </x:row>
    <x:row r="246" ht="24" customHeight="1">
      <x:c r="A246" s="10"/>
      <x:c r="B246" s="5"/>
      <x:c r="C246" s="10"/>
      <x:c r="D246" s="10"/>
      <x:c r="E246" s="10"/>
      <x:c r="F246" s="10"/>
      <x:c r="G246" s="10"/>
      <x:c r="H246" s="10"/>
      <x:c r="I246" s="11"/>
      <x:c r="J246" s="11"/>
      <x:c r="K246" s="10"/>
      <x:c r="L246" s="10"/>
      <x:c r="M246" s="10"/>
      <x:c r="N246" s="10"/>
      <x:c r="O246" s="1" t="str">
        <x:f>IF(COUNTA(A246:N246)=0,"",IF(OR(A246="",B246="",C246="",NOT(ISNUMBER(D246)),NOT(ISNUMBER(E246))),"Complete required fields",IF(COUNTIFS($A$7:$A$506,A246)&gt;1,"Duplicate ID",IF(COUNTIFS('Accounts'!$A$7:$A$26,C246,'Accounts'!$B$7:$B$26,D246)&lt;&gt;1,"Check account/currency",IF(OR(I246&lt;0,J246&lt;0,AND(I246&gt;0,J246&gt;0),AND(I246=0,J246=0)),"Check amounts",IF(OR(AND(E246="Income",J246&gt;0),AND(E246="Expense",I246&gt;0),AND(E246="Transfer in",J246&gt;0),AND(E246="Transfer out",I246&gt;0)),"Check type/direction",IF(AND(OR(E246="Transfer in",E246="Transfer out"),M246=""),"Add transfer pair ID",IF(AND(OR(E246="Transfer in",E246="Transfer out"),COUNTIFS($M$7:$M$506,M246,$D$7:$D$506,D246)&lt;&gt;2),"Check transfer pair",IF(AND(E246="Expense",K246=""),"Assign budget fund",IF(AND(E246="Expense",L246=""),"Add receipt / proof",""))))))))))</x:f>
      </x:c>
    </x:row>
    <x:row r="247" ht="24" customHeight="1">
      <x:c r="A247" s="10"/>
      <x:c r="B247" s="5"/>
      <x:c r="C247" s="10"/>
      <x:c r="D247" s="10"/>
      <x:c r="E247" s="10"/>
      <x:c r="F247" s="10"/>
      <x:c r="G247" s="10"/>
      <x:c r="H247" s="10"/>
      <x:c r="I247" s="11"/>
      <x:c r="J247" s="11"/>
      <x:c r="K247" s="10"/>
      <x:c r="L247" s="10"/>
      <x:c r="M247" s="10"/>
      <x:c r="N247" s="10"/>
      <x:c r="O247" s="1" t="str">
        <x:f>IF(COUNTA(A247:N247)=0,"",IF(OR(A247="",B247="",C247="",NOT(ISNUMBER(D247)),NOT(ISNUMBER(E247))),"Complete required fields",IF(COUNTIFS($A$7:$A$506,A247)&gt;1,"Duplicate ID",IF(COUNTIFS('Accounts'!$A$7:$A$26,C247,'Accounts'!$B$7:$B$26,D247)&lt;&gt;1,"Check account/currency",IF(OR(I247&lt;0,J247&lt;0,AND(I247&gt;0,J247&gt;0),AND(I247=0,J247=0)),"Check amounts",IF(OR(AND(E247="Income",J247&gt;0),AND(E247="Expense",I247&gt;0),AND(E247="Transfer in",J247&gt;0),AND(E247="Transfer out",I247&gt;0)),"Check type/direction",IF(AND(OR(E247="Transfer in",E247="Transfer out"),M247=""),"Add transfer pair ID",IF(AND(OR(E247="Transfer in",E247="Transfer out"),COUNTIFS($M$7:$M$506,M247,$D$7:$D$506,D247)&lt;&gt;2),"Check transfer pair",IF(AND(E247="Expense",K247=""),"Assign budget fund",IF(AND(E247="Expense",L247=""),"Add receipt / proof",""))))))))))</x:f>
      </x:c>
    </x:row>
    <x:row r="248" ht="24" customHeight="1">
      <x:c r="A248" s="10"/>
      <x:c r="B248" s="5"/>
      <x:c r="C248" s="10"/>
      <x:c r="D248" s="10"/>
      <x:c r="E248" s="10"/>
      <x:c r="F248" s="10"/>
      <x:c r="G248" s="10"/>
      <x:c r="H248" s="10"/>
      <x:c r="I248" s="11"/>
      <x:c r="J248" s="11"/>
      <x:c r="K248" s="10"/>
      <x:c r="L248" s="10"/>
      <x:c r="M248" s="10"/>
      <x:c r="N248" s="10"/>
      <x:c r="O248" s="1" t="str">
        <x:f>IF(COUNTA(A248:N248)=0,"",IF(OR(A248="",B248="",C248="",NOT(ISNUMBER(D248)),NOT(ISNUMBER(E248))),"Complete required fields",IF(COUNTIFS($A$7:$A$506,A248)&gt;1,"Duplicate ID",IF(COUNTIFS('Accounts'!$A$7:$A$26,C248,'Accounts'!$B$7:$B$26,D248)&lt;&gt;1,"Check account/currency",IF(OR(I248&lt;0,J248&lt;0,AND(I248&gt;0,J248&gt;0),AND(I248=0,J248=0)),"Check amounts",IF(OR(AND(E248="Income",J248&gt;0),AND(E248="Expense",I248&gt;0),AND(E248="Transfer in",J248&gt;0),AND(E248="Transfer out",I248&gt;0)),"Check type/direction",IF(AND(OR(E248="Transfer in",E248="Transfer out"),M248=""),"Add transfer pair ID",IF(AND(OR(E248="Transfer in",E248="Transfer out"),COUNTIFS($M$7:$M$506,M248,$D$7:$D$506,D248)&lt;&gt;2),"Check transfer pair",IF(AND(E248="Expense",K248=""),"Assign budget fund",IF(AND(E248="Expense",L248=""),"Add receipt / proof",""))))))))))</x:f>
      </x:c>
    </x:row>
    <x:row r="249" ht="24" customHeight="1">
      <x:c r="A249" s="10"/>
      <x:c r="B249" s="5"/>
      <x:c r="C249" s="10"/>
      <x:c r="D249" s="10"/>
      <x:c r="E249" s="10"/>
      <x:c r="F249" s="10"/>
      <x:c r="G249" s="10"/>
      <x:c r="H249" s="10"/>
      <x:c r="I249" s="11"/>
      <x:c r="J249" s="11"/>
      <x:c r="K249" s="10"/>
      <x:c r="L249" s="10"/>
      <x:c r="M249" s="10"/>
      <x:c r="N249" s="10"/>
      <x:c r="O249" s="1" t="str">
        <x:f>IF(COUNTA(A249:N249)=0,"",IF(OR(A249="",B249="",C249="",NOT(ISNUMBER(D249)),NOT(ISNUMBER(E249))),"Complete required fields",IF(COUNTIFS($A$7:$A$506,A249)&gt;1,"Duplicate ID",IF(COUNTIFS('Accounts'!$A$7:$A$26,C249,'Accounts'!$B$7:$B$26,D249)&lt;&gt;1,"Check account/currency",IF(OR(I249&lt;0,J249&lt;0,AND(I249&gt;0,J249&gt;0),AND(I249=0,J249=0)),"Check amounts",IF(OR(AND(E249="Income",J249&gt;0),AND(E249="Expense",I249&gt;0),AND(E249="Transfer in",J249&gt;0),AND(E249="Transfer out",I249&gt;0)),"Check type/direction",IF(AND(OR(E249="Transfer in",E249="Transfer out"),M249=""),"Add transfer pair ID",IF(AND(OR(E249="Transfer in",E249="Transfer out"),COUNTIFS($M$7:$M$506,M249,$D$7:$D$506,D249)&lt;&gt;2),"Check transfer pair",IF(AND(E249="Expense",K249=""),"Assign budget fund",IF(AND(E249="Expense",L249=""),"Add receipt / proof",""))))))))))</x:f>
      </x:c>
    </x:row>
    <x:row r="250" ht="24" customHeight="1">
      <x:c r="A250" s="10"/>
      <x:c r="B250" s="5"/>
      <x:c r="C250" s="10"/>
      <x:c r="D250" s="10"/>
      <x:c r="E250" s="10"/>
      <x:c r="F250" s="10"/>
      <x:c r="G250" s="10"/>
      <x:c r="H250" s="10"/>
      <x:c r="I250" s="11"/>
      <x:c r="J250" s="11"/>
      <x:c r="K250" s="10"/>
      <x:c r="L250" s="10"/>
      <x:c r="M250" s="10"/>
      <x:c r="N250" s="10"/>
      <x:c r="O250" s="1" t="str">
        <x:f>IF(COUNTA(A250:N250)=0,"",IF(OR(A250="",B250="",C250="",NOT(ISNUMBER(D250)),NOT(ISNUMBER(E250))),"Complete required fields",IF(COUNTIFS($A$7:$A$506,A250)&gt;1,"Duplicate ID",IF(COUNTIFS('Accounts'!$A$7:$A$26,C250,'Accounts'!$B$7:$B$26,D250)&lt;&gt;1,"Check account/currency",IF(OR(I250&lt;0,J250&lt;0,AND(I250&gt;0,J250&gt;0),AND(I250=0,J250=0)),"Check amounts",IF(OR(AND(E250="Income",J250&gt;0),AND(E250="Expense",I250&gt;0),AND(E250="Transfer in",J250&gt;0),AND(E250="Transfer out",I250&gt;0)),"Check type/direction",IF(AND(OR(E250="Transfer in",E250="Transfer out"),M250=""),"Add transfer pair ID",IF(AND(OR(E250="Transfer in",E250="Transfer out"),COUNTIFS($M$7:$M$506,M250,$D$7:$D$506,D250)&lt;&gt;2),"Check transfer pair",IF(AND(E250="Expense",K250=""),"Assign budget fund",IF(AND(E250="Expense",L250=""),"Add receipt / proof",""))))))))))</x:f>
      </x:c>
    </x:row>
    <x:row r="251" ht="24" customHeight="1">
      <x:c r="A251" s="10"/>
      <x:c r="B251" s="5"/>
      <x:c r="C251" s="10"/>
      <x:c r="D251" s="10"/>
      <x:c r="E251" s="10"/>
      <x:c r="F251" s="10"/>
      <x:c r="G251" s="10"/>
      <x:c r="H251" s="10"/>
      <x:c r="I251" s="11"/>
      <x:c r="J251" s="11"/>
      <x:c r="K251" s="10"/>
      <x:c r="L251" s="10"/>
      <x:c r="M251" s="10"/>
      <x:c r="N251" s="10"/>
      <x:c r="O251" s="1" t="str">
        <x:f>IF(COUNTA(A251:N251)=0,"",IF(OR(A251="",B251="",C251="",NOT(ISNUMBER(D251)),NOT(ISNUMBER(E251))),"Complete required fields",IF(COUNTIFS($A$7:$A$506,A251)&gt;1,"Duplicate ID",IF(COUNTIFS('Accounts'!$A$7:$A$26,C251,'Accounts'!$B$7:$B$26,D251)&lt;&gt;1,"Check account/currency",IF(OR(I251&lt;0,J251&lt;0,AND(I251&gt;0,J251&gt;0),AND(I251=0,J251=0)),"Check amounts",IF(OR(AND(E251="Income",J251&gt;0),AND(E251="Expense",I251&gt;0),AND(E251="Transfer in",J251&gt;0),AND(E251="Transfer out",I251&gt;0)),"Check type/direction",IF(AND(OR(E251="Transfer in",E251="Transfer out"),M251=""),"Add transfer pair ID",IF(AND(OR(E251="Transfer in",E251="Transfer out"),COUNTIFS($M$7:$M$506,M251,$D$7:$D$506,D251)&lt;&gt;2),"Check transfer pair",IF(AND(E251="Expense",K251=""),"Assign budget fund",IF(AND(E251="Expense",L251=""),"Add receipt / proof",""))))))))))</x:f>
      </x:c>
    </x:row>
    <x:row r="252" ht="24" customHeight="1">
      <x:c r="A252" s="10"/>
      <x:c r="B252" s="5"/>
      <x:c r="C252" s="10"/>
      <x:c r="D252" s="10"/>
      <x:c r="E252" s="10"/>
      <x:c r="F252" s="10"/>
      <x:c r="G252" s="10"/>
      <x:c r="H252" s="10"/>
      <x:c r="I252" s="11"/>
      <x:c r="J252" s="11"/>
      <x:c r="K252" s="10"/>
      <x:c r="L252" s="10"/>
      <x:c r="M252" s="10"/>
      <x:c r="N252" s="10"/>
      <x:c r="O252" s="1" t="str">
        <x:f>IF(COUNTA(A252:N252)=0,"",IF(OR(A252="",B252="",C252="",NOT(ISNUMBER(D252)),NOT(ISNUMBER(E252))),"Complete required fields",IF(COUNTIFS($A$7:$A$506,A252)&gt;1,"Duplicate ID",IF(COUNTIFS('Accounts'!$A$7:$A$26,C252,'Accounts'!$B$7:$B$26,D252)&lt;&gt;1,"Check account/currency",IF(OR(I252&lt;0,J252&lt;0,AND(I252&gt;0,J252&gt;0),AND(I252=0,J252=0)),"Check amounts",IF(OR(AND(E252="Income",J252&gt;0),AND(E252="Expense",I252&gt;0),AND(E252="Transfer in",J252&gt;0),AND(E252="Transfer out",I252&gt;0)),"Check type/direction",IF(AND(OR(E252="Transfer in",E252="Transfer out"),M252=""),"Add transfer pair ID",IF(AND(OR(E252="Transfer in",E252="Transfer out"),COUNTIFS($M$7:$M$506,M252,$D$7:$D$506,D252)&lt;&gt;2),"Check transfer pair",IF(AND(E252="Expense",K252=""),"Assign budget fund",IF(AND(E252="Expense",L252=""),"Add receipt / proof",""))))))))))</x:f>
      </x:c>
    </x:row>
    <x:row r="253" ht="24" customHeight="1">
      <x:c r="A253" s="10"/>
      <x:c r="B253" s="5"/>
      <x:c r="C253" s="10"/>
      <x:c r="D253" s="10"/>
      <x:c r="E253" s="10"/>
      <x:c r="F253" s="10"/>
      <x:c r="G253" s="10"/>
      <x:c r="H253" s="10"/>
      <x:c r="I253" s="11"/>
      <x:c r="J253" s="11"/>
      <x:c r="K253" s="10"/>
      <x:c r="L253" s="10"/>
      <x:c r="M253" s="10"/>
      <x:c r="N253" s="10"/>
      <x:c r="O253" s="1" t="str">
        <x:f>IF(COUNTA(A253:N253)=0,"",IF(OR(A253="",B253="",C253="",NOT(ISNUMBER(D253)),NOT(ISNUMBER(E253))),"Complete required fields",IF(COUNTIFS($A$7:$A$506,A253)&gt;1,"Duplicate ID",IF(COUNTIFS('Accounts'!$A$7:$A$26,C253,'Accounts'!$B$7:$B$26,D253)&lt;&gt;1,"Check account/currency",IF(OR(I253&lt;0,J253&lt;0,AND(I253&gt;0,J253&gt;0),AND(I253=0,J253=0)),"Check amounts",IF(OR(AND(E253="Income",J253&gt;0),AND(E253="Expense",I253&gt;0),AND(E253="Transfer in",J253&gt;0),AND(E253="Transfer out",I253&gt;0)),"Check type/direction",IF(AND(OR(E253="Transfer in",E253="Transfer out"),M253=""),"Add transfer pair ID",IF(AND(OR(E253="Transfer in",E253="Transfer out"),COUNTIFS($M$7:$M$506,M253,$D$7:$D$506,D253)&lt;&gt;2),"Check transfer pair",IF(AND(E253="Expense",K253=""),"Assign budget fund",IF(AND(E253="Expense",L253=""),"Add receipt / proof",""))))))))))</x:f>
      </x:c>
    </x:row>
    <x:row r="254" ht="24" customHeight="1">
      <x:c r="A254" s="10"/>
      <x:c r="B254" s="5"/>
      <x:c r="C254" s="10"/>
      <x:c r="D254" s="10"/>
      <x:c r="E254" s="10"/>
      <x:c r="F254" s="10"/>
      <x:c r="G254" s="10"/>
      <x:c r="H254" s="10"/>
      <x:c r="I254" s="11"/>
      <x:c r="J254" s="11"/>
      <x:c r="K254" s="10"/>
      <x:c r="L254" s="10"/>
      <x:c r="M254" s="10"/>
      <x:c r="N254" s="10"/>
      <x:c r="O254" s="1" t="str">
        <x:f>IF(COUNTA(A254:N254)=0,"",IF(OR(A254="",B254="",C254="",NOT(ISNUMBER(D254)),NOT(ISNUMBER(E254))),"Complete required fields",IF(COUNTIFS($A$7:$A$506,A254)&gt;1,"Duplicate ID",IF(COUNTIFS('Accounts'!$A$7:$A$26,C254,'Accounts'!$B$7:$B$26,D254)&lt;&gt;1,"Check account/currency",IF(OR(I254&lt;0,J254&lt;0,AND(I254&gt;0,J254&gt;0),AND(I254=0,J254=0)),"Check amounts",IF(OR(AND(E254="Income",J254&gt;0),AND(E254="Expense",I254&gt;0),AND(E254="Transfer in",J254&gt;0),AND(E254="Transfer out",I254&gt;0)),"Check type/direction",IF(AND(OR(E254="Transfer in",E254="Transfer out"),M254=""),"Add transfer pair ID",IF(AND(OR(E254="Transfer in",E254="Transfer out"),COUNTIFS($M$7:$M$506,M254,$D$7:$D$506,D254)&lt;&gt;2),"Check transfer pair",IF(AND(E254="Expense",K254=""),"Assign budget fund",IF(AND(E254="Expense",L254=""),"Add receipt / proof",""))))))))))</x:f>
      </x:c>
    </x:row>
    <x:row r="255" ht="24" customHeight="1">
      <x:c r="A255" s="10"/>
      <x:c r="B255" s="5"/>
      <x:c r="C255" s="10"/>
      <x:c r="D255" s="10"/>
      <x:c r="E255" s="10"/>
      <x:c r="F255" s="10"/>
      <x:c r="G255" s="10"/>
      <x:c r="H255" s="10"/>
      <x:c r="I255" s="11"/>
      <x:c r="J255" s="11"/>
      <x:c r="K255" s="10"/>
      <x:c r="L255" s="10"/>
      <x:c r="M255" s="10"/>
      <x:c r="N255" s="10"/>
      <x:c r="O255" s="1" t="str">
        <x:f>IF(COUNTA(A255:N255)=0,"",IF(OR(A255="",B255="",C255="",NOT(ISNUMBER(D255)),NOT(ISNUMBER(E255))),"Complete required fields",IF(COUNTIFS($A$7:$A$506,A255)&gt;1,"Duplicate ID",IF(COUNTIFS('Accounts'!$A$7:$A$26,C255,'Accounts'!$B$7:$B$26,D255)&lt;&gt;1,"Check account/currency",IF(OR(I255&lt;0,J255&lt;0,AND(I255&gt;0,J255&gt;0),AND(I255=0,J255=0)),"Check amounts",IF(OR(AND(E255="Income",J255&gt;0),AND(E255="Expense",I255&gt;0),AND(E255="Transfer in",J255&gt;0),AND(E255="Transfer out",I255&gt;0)),"Check type/direction",IF(AND(OR(E255="Transfer in",E255="Transfer out"),M255=""),"Add transfer pair ID",IF(AND(OR(E255="Transfer in",E255="Transfer out"),COUNTIFS($M$7:$M$506,M255,$D$7:$D$506,D255)&lt;&gt;2),"Check transfer pair",IF(AND(E255="Expense",K255=""),"Assign budget fund",IF(AND(E255="Expense",L255=""),"Add receipt / proof",""))))))))))</x:f>
      </x:c>
    </x:row>
    <x:row r="256" ht="24" customHeight="1">
      <x:c r="A256" s="10"/>
      <x:c r="B256" s="5"/>
      <x:c r="C256" s="10"/>
      <x:c r="D256" s="10"/>
      <x:c r="E256" s="10"/>
      <x:c r="F256" s="10"/>
      <x:c r="G256" s="10"/>
      <x:c r="H256" s="10"/>
      <x:c r="I256" s="11"/>
      <x:c r="J256" s="11"/>
      <x:c r="K256" s="10"/>
      <x:c r="L256" s="10"/>
      <x:c r="M256" s="10"/>
      <x:c r="N256" s="10"/>
      <x:c r="O256" s="1" t="str">
        <x:f>IF(COUNTA(A256:N256)=0,"",IF(OR(A256="",B256="",C256="",NOT(ISNUMBER(D256)),NOT(ISNUMBER(E256))),"Complete required fields",IF(COUNTIFS($A$7:$A$506,A256)&gt;1,"Duplicate ID",IF(COUNTIFS('Accounts'!$A$7:$A$26,C256,'Accounts'!$B$7:$B$26,D256)&lt;&gt;1,"Check account/currency",IF(OR(I256&lt;0,J256&lt;0,AND(I256&gt;0,J256&gt;0),AND(I256=0,J256=0)),"Check amounts",IF(OR(AND(E256="Income",J256&gt;0),AND(E256="Expense",I256&gt;0),AND(E256="Transfer in",J256&gt;0),AND(E256="Transfer out",I256&gt;0)),"Check type/direction",IF(AND(OR(E256="Transfer in",E256="Transfer out"),M256=""),"Add transfer pair ID",IF(AND(OR(E256="Transfer in",E256="Transfer out"),COUNTIFS($M$7:$M$506,M256,$D$7:$D$506,D256)&lt;&gt;2),"Check transfer pair",IF(AND(E256="Expense",K256=""),"Assign budget fund",IF(AND(E256="Expense",L256=""),"Add receipt / proof",""))))))))))</x:f>
      </x:c>
    </x:row>
    <x:row r="257" ht="24" customHeight="1">
      <x:c r="A257" s="10"/>
      <x:c r="B257" s="5"/>
      <x:c r="C257" s="10"/>
      <x:c r="D257" s="10"/>
      <x:c r="E257" s="10"/>
      <x:c r="F257" s="10"/>
      <x:c r="G257" s="10"/>
      <x:c r="H257" s="10"/>
      <x:c r="I257" s="11"/>
      <x:c r="J257" s="11"/>
      <x:c r="K257" s="10"/>
      <x:c r="L257" s="10"/>
      <x:c r="M257" s="10"/>
      <x:c r="N257" s="10"/>
      <x:c r="O257" s="1" t="str">
        <x:f>IF(COUNTA(A257:N257)=0,"",IF(OR(A257="",B257="",C257="",NOT(ISNUMBER(D257)),NOT(ISNUMBER(E257))),"Complete required fields",IF(COUNTIFS($A$7:$A$506,A257)&gt;1,"Duplicate ID",IF(COUNTIFS('Accounts'!$A$7:$A$26,C257,'Accounts'!$B$7:$B$26,D257)&lt;&gt;1,"Check account/currency",IF(OR(I257&lt;0,J257&lt;0,AND(I257&gt;0,J257&gt;0),AND(I257=0,J257=0)),"Check amounts",IF(OR(AND(E257="Income",J257&gt;0),AND(E257="Expense",I257&gt;0),AND(E257="Transfer in",J257&gt;0),AND(E257="Transfer out",I257&gt;0)),"Check type/direction",IF(AND(OR(E257="Transfer in",E257="Transfer out"),M257=""),"Add transfer pair ID",IF(AND(OR(E257="Transfer in",E257="Transfer out"),COUNTIFS($M$7:$M$506,M257,$D$7:$D$506,D257)&lt;&gt;2),"Check transfer pair",IF(AND(E257="Expense",K257=""),"Assign budget fund",IF(AND(E257="Expense",L257=""),"Add receipt / proof",""))))))))))</x:f>
      </x:c>
    </x:row>
    <x:row r="258" ht="24" customHeight="1">
      <x:c r="A258" s="10"/>
      <x:c r="B258" s="5"/>
      <x:c r="C258" s="10"/>
      <x:c r="D258" s="10"/>
      <x:c r="E258" s="10"/>
      <x:c r="F258" s="10"/>
      <x:c r="G258" s="10"/>
      <x:c r="H258" s="10"/>
      <x:c r="I258" s="11"/>
      <x:c r="J258" s="11"/>
      <x:c r="K258" s="10"/>
      <x:c r="L258" s="10"/>
      <x:c r="M258" s="10"/>
      <x:c r="N258" s="10"/>
      <x:c r="O258" s="1" t="str">
        <x:f>IF(COUNTA(A258:N258)=0,"",IF(OR(A258="",B258="",C258="",NOT(ISNUMBER(D258)),NOT(ISNUMBER(E258))),"Complete required fields",IF(COUNTIFS($A$7:$A$506,A258)&gt;1,"Duplicate ID",IF(COUNTIFS('Accounts'!$A$7:$A$26,C258,'Accounts'!$B$7:$B$26,D258)&lt;&gt;1,"Check account/currency",IF(OR(I258&lt;0,J258&lt;0,AND(I258&gt;0,J258&gt;0),AND(I258=0,J258=0)),"Check amounts",IF(OR(AND(E258="Income",J258&gt;0),AND(E258="Expense",I258&gt;0),AND(E258="Transfer in",J258&gt;0),AND(E258="Transfer out",I258&gt;0)),"Check type/direction",IF(AND(OR(E258="Transfer in",E258="Transfer out"),M258=""),"Add transfer pair ID",IF(AND(OR(E258="Transfer in",E258="Transfer out"),COUNTIFS($M$7:$M$506,M258,$D$7:$D$506,D258)&lt;&gt;2),"Check transfer pair",IF(AND(E258="Expense",K258=""),"Assign budget fund",IF(AND(E258="Expense",L258=""),"Add receipt / proof",""))))))))))</x:f>
      </x:c>
    </x:row>
    <x:row r="259" ht="24" customHeight="1">
      <x:c r="A259" s="10"/>
      <x:c r="B259" s="5"/>
      <x:c r="C259" s="10"/>
      <x:c r="D259" s="10"/>
      <x:c r="E259" s="10"/>
      <x:c r="F259" s="10"/>
      <x:c r="G259" s="10"/>
      <x:c r="H259" s="10"/>
      <x:c r="I259" s="11"/>
      <x:c r="J259" s="11"/>
      <x:c r="K259" s="10"/>
      <x:c r="L259" s="10"/>
      <x:c r="M259" s="10"/>
      <x:c r="N259" s="10"/>
      <x:c r="O259" s="1" t="str">
        <x:f>IF(COUNTA(A259:N259)=0,"",IF(OR(A259="",B259="",C259="",NOT(ISNUMBER(D259)),NOT(ISNUMBER(E259))),"Complete required fields",IF(COUNTIFS($A$7:$A$506,A259)&gt;1,"Duplicate ID",IF(COUNTIFS('Accounts'!$A$7:$A$26,C259,'Accounts'!$B$7:$B$26,D259)&lt;&gt;1,"Check account/currency",IF(OR(I259&lt;0,J259&lt;0,AND(I259&gt;0,J259&gt;0),AND(I259=0,J259=0)),"Check amounts",IF(OR(AND(E259="Income",J259&gt;0),AND(E259="Expense",I259&gt;0),AND(E259="Transfer in",J259&gt;0),AND(E259="Transfer out",I259&gt;0)),"Check type/direction",IF(AND(OR(E259="Transfer in",E259="Transfer out"),M259=""),"Add transfer pair ID",IF(AND(OR(E259="Transfer in",E259="Transfer out"),COUNTIFS($M$7:$M$506,M259,$D$7:$D$506,D259)&lt;&gt;2),"Check transfer pair",IF(AND(E259="Expense",K259=""),"Assign budget fund",IF(AND(E259="Expense",L259=""),"Add receipt / proof",""))))))))))</x:f>
      </x:c>
    </x:row>
    <x:row r="260" ht="24" customHeight="1">
      <x:c r="A260" s="10"/>
      <x:c r="B260" s="5"/>
      <x:c r="C260" s="10"/>
      <x:c r="D260" s="10"/>
      <x:c r="E260" s="10"/>
      <x:c r="F260" s="10"/>
      <x:c r="G260" s="10"/>
      <x:c r="H260" s="10"/>
      <x:c r="I260" s="11"/>
      <x:c r="J260" s="11"/>
      <x:c r="K260" s="10"/>
      <x:c r="L260" s="10"/>
      <x:c r="M260" s="10"/>
      <x:c r="N260" s="10"/>
      <x:c r="O260" s="1" t="str">
        <x:f>IF(COUNTA(A260:N260)=0,"",IF(OR(A260="",B260="",C260="",NOT(ISNUMBER(D260)),NOT(ISNUMBER(E260))),"Complete required fields",IF(COUNTIFS($A$7:$A$506,A260)&gt;1,"Duplicate ID",IF(COUNTIFS('Accounts'!$A$7:$A$26,C260,'Accounts'!$B$7:$B$26,D260)&lt;&gt;1,"Check account/currency",IF(OR(I260&lt;0,J260&lt;0,AND(I260&gt;0,J260&gt;0),AND(I260=0,J260=0)),"Check amounts",IF(OR(AND(E260="Income",J260&gt;0),AND(E260="Expense",I260&gt;0),AND(E260="Transfer in",J260&gt;0),AND(E260="Transfer out",I260&gt;0)),"Check type/direction",IF(AND(OR(E260="Transfer in",E260="Transfer out"),M260=""),"Add transfer pair ID",IF(AND(OR(E260="Transfer in",E260="Transfer out"),COUNTIFS($M$7:$M$506,M260,$D$7:$D$506,D260)&lt;&gt;2),"Check transfer pair",IF(AND(E260="Expense",K260=""),"Assign budget fund",IF(AND(E260="Expense",L260=""),"Add receipt / proof",""))))))))))</x:f>
      </x:c>
    </x:row>
    <x:row r="261" ht="24" customHeight="1">
      <x:c r="A261" s="10"/>
      <x:c r="B261" s="5"/>
      <x:c r="C261" s="10"/>
      <x:c r="D261" s="10"/>
      <x:c r="E261" s="10"/>
      <x:c r="F261" s="10"/>
      <x:c r="G261" s="10"/>
      <x:c r="H261" s="10"/>
      <x:c r="I261" s="11"/>
      <x:c r="J261" s="11"/>
      <x:c r="K261" s="10"/>
      <x:c r="L261" s="10"/>
      <x:c r="M261" s="10"/>
      <x:c r="N261" s="10"/>
      <x:c r="O261" s="1" t="str">
        <x:f>IF(COUNTA(A261:N261)=0,"",IF(OR(A261="",B261="",C261="",NOT(ISNUMBER(D261)),NOT(ISNUMBER(E261))),"Complete required fields",IF(COUNTIFS($A$7:$A$506,A261)&gt;1,"Duplicate ID",IF(COUNTIFS('Accounts'!$A$7:$A$26,C261,'Accounts'!$B$7:$B$26,D261)&lt;&gt;1,"Check account/currency",IF(OR(I261&lt;0,J261&lt;0,AND(I261&gt;0,J261&gt;0),AND(I261=0,J261=0)),"Check amounts",IF(OR(AND(E261="Income",J261&gt;0),AND(E261="Expense",I261&gt;0),AND(E261="Transfer in",J261&gt;0),AND(E261="Transfer out",I261&gt;0)),"Check type/direction",IF(AND(OR(E261="Transfer in",E261="Transfer out"),M261=""),"Add transfer pair ID",IF(AND(OR(E261="Transfer in",E261="Transfer out"),COUNTIFS($M$7:$M$506,M261,$D$7:$D$506,D261)&lt;&gt;2),"Check transfer pair",IF(AND(E261="Expense",K261=""),"Assign budget fund",IF(AND(E261="Expense",L261=""),"Add receipt / proof",""))))))))))</x:f>
      </x:c>
    </x:row>
    <x:row r="262" ht="24" customHeight="1">
      <x:c r="A262" s="10"/>
      <x:c r="B262" s="5"/>
      <x:c r="C262" s="10"/>
      <x:c r="D262" s="10"/>
      <x:c r="E262" s="10"/>
      <x:c r="F262" s="10"/>
      <x:c r="G262" s="10"/>
      <x:c r="H262" s="10"/>
      <x:c r="I262" s="11"/>
      <x:c r="J262" s="11"/>
      <x:c r="K262" s="10"/>
      <x:c r="L262" s="10"/>
      <x:c r="M262" s="10"/>
      <x:c r="N262" s="10"/>
      <x:c r="O262" s="1" t="str">
        <x:f>IF(COUNTA(A262:N262)=0,"",IF(OR(A262="",B262="",C262="",NOT(ISNUMBER(D262)),NOT(ISNUMBER(E262))),"Complete required fields",IF(COUNTIFS($A$7:$A$506,A262)&gt;1,"Duplicate ID",IF(COUNTIFS('Accounts'!$A$7:$A$26,C262,'Accounts'!$B$7:$B$26,D262)&lt;&gt;1,"Check account/currency",IF(OR(I262&lt;0,J262&lt;0,AND(I262&gt;0,J262&gt;0),AND(I262=0,J262=0)),"Check amounts",IF(OR(AND(E262="Income",J262&gt;0),AND(E262="Expense",I262&gt;0),AND(E262="Transfer in",J262&gt;0),AND(E262="Transfer out",I262&gt;0)),"Check type/direction",IF(AND(OR(E262="Transfer in",E262="Transfer out"),M262=""),"Add transfer pair ID",IF(AND(OR(E262="Transfer in",E262="Transfer out"),COUNTIFS($M$7:$M$506,M262,$D$7:$D$506,D262)&lt;&gt;2),"Check transfer pair",IF(AND(E262="Expense",K262=""),"Assign budget fund",IF(AND(E262="Expense",L262=""),"Add receipt / proof",""))))))))))</x:f>
      </x:c>
    </x:row>
    <x:row r="263" ht="24" customHeight="1">
      <x:c r="A263" s="10"/>
      <x:c r="B263" s="5"/>
      <x:c r="C263" s="10"/>
      <x:c r="D263" s="10"/>
      <x:c r="E263" s="10"/>
      <x:c r="F263" s="10"/>
      <x:c r="G263" s="10"/>
      <x:c r="H263" s="10"/>
      <x:c r="I263" s="11"/>
      <x:c r="J263" s="11"/>
      <x:c r="K263" s="10"/>
      <x:c r="L263" s="10"/>
      <x:c r="M263" s="10"/>
      <x:c r="N263" s="10"/>
      <x:c r="O263" s="1" t="str">
        <x:f>IF(COUNTA(A263:N263)=0,"",IF(OR(A263="",B263="",C263="",NOT(ISNUMBER(D263)),NOT(ISNUMBER(E263))),"Complete required fields",IF(COUNTIFS($A$7:$A$506,A263)&gt;1,"Duplicate ID",IF(COUNTIFS('Accounts'!$A$7:$A$26,C263,'Accounts'!$B$7:$B$26,D263)&lt;&gt;1,"Check account/currency",IF(OR(I263&lt;0,J263&lt;0,AND(I263&gt;0,J263&gt;0),AND(I263=0,J263=0)),"Check amounts",IF(OR(AND(E263="Income",J263&gt;0),AND(E263="Expense",I263&gt;0),AND(E263="Transfer in",J263&gt;0),AND(E263="Transfer out",I263&gt;0)),"Check type/direction",IF(AND(OR(E263="Transfer in",E263="Transfer out"),M263=""),"Add transfer pair ID",IF(AND(OR(E263="Transfer in",E263="Transfer out"),COUNTIFS($M$7:$M$506,M263,$D$7:$D$506,D263)&lt;&gt;2),"Check transfer pair",IF(AND(E263="Expense",K263=""),"Assign budget fund",IF(AND(E263="Expense",L263=""),"Add receipt / proof",""))))))))))</x:f>
      </x:c>
    </x:row>
    <x:row r="264" ht="24" customHeight="1">
      <x:c r="A264" s="10"/>
      <x:c r="B264" s="5"/>
      <x:c r="C264" s="10"/>
      <x:c r="D264" s="10"/>
      <x:c r="E264" s="10"/>
      <x:c r="F264" s="10"/>
      <x:c r="G264" s="10"/>
      <x:c r="H264" s="10"/>
      <x:c r="I264" s="11"/>
      <x:c r="J264" s="11"/>
      <x:c r="K264" s="10"/>
      <x:c r="L264" s="10"/>
      <x:c r="M264" s="10"/>
      <x:c r="N264" s="10"/>
      <x:c r="O264" s="1" t="str">
        <x:f>IF(COUNTA(A264:N264)=0,"",IF(OR(A264="",B264="",C264="",NOT(ISNUMBER(D264)),NOT(ISNUMBER(E264))),"Complete required fields",IF(COUNTIFS($A$7:$A$506,A264)&gt;1,"Duplicate ID",IF(COUNTIFS('Accounts'!$A$7:$A$26,C264,'Accounts'!$B$7:$B$26,D264)&lt;&gt;1,"Check account/currency",IF(OR(I264&lt;0,J264&lt;0,AND(I264&gt;0,J264&gt;0),AND(I264=0,J264=0)),"Check amounts",IF(OR(AND(E264="Income",J264&gt;0),AND(E264="Expense",I264&gt;0),AND(E264="Transfer in",J264&gt;0),AND(E264="Transfer out",I264&gt;0)),"Check type/direction",IF(AND(OR(E264="Transfer in",E264="Transfer out"),M264=""),"Add transfer pair ID",IF(AND(OR(E264="Transfer in",E264="Transfer out"),COUNTIFS($M$7:$M$506,M264,$D$7:$D$506,D264)&lt;&gt;2),"Check transfer pair",IF(AND(E264="Expense",K264=""),"Assign budget fund",IF(AND(E264="Expense",L264=""),"Add receipt / proof",""))))))))))</x:f>
      </x:c>
    </x:row>
    <x:row r="265" ht="24" customHeight="1">
      <x:c r="A265" s="10"/>
      <x:c r="B265" s="5"/>
      <x:c r="C265" s="10"/>
      <x:c r="D265" s="10"/>
      <x:c r="E265" s="10"/>
      <x:c r="F265" s="10"/>
      <x:c r="G265" s="10"/>
      <x:c r="H265" s="10"/>
      <x:c r="I265" s="11"/>
      <x:c r="J265" s="11"/>
      <x:c r="K265" s="10"/>
      <x:c r="L265" s="10"/>
      <x:c r="M265" s="10"/>
      <x:c r="N265" s="10"/>
      <x:c r="O265" s="1" t="str">
        <x:f>IF(COUNTA(A265:N265)=0,"",IF(OR(A265="",B265="",C265="",NOT(ISNUMBER(D265)),NOT(ISNUMBER(E265))),"Complete required fields",IF(COUNTIFS($A$7:$A$506,A265)&gt;1,"Duplicate ID",IF(COUNTIFS('Accounts'!$A$7:$A$26,C265,'Accounts'!$B$7:$B$26,D265)&lt;&gt;1,"Check account/currency",IF(OR(I265&lt;0,J265&lt;0,AND(I265&gt;0,J265&gt;0),AND(I265=0,J265=0)),"Check amounts",IF(OR(AND(E265="Income",J265&gt;0),AND(E265="Expense",I265&gt;0),AND(E265="Transfer in",J265&gt;0),AND(E265="Transfer out",I265&gt;0)),"Check type/direction",IF(AND(OR(E265="Transfer in",E265="Transfer out"),M265=""),"Add transfer pair ID",IF(AND(OR(E265="Transfer in",E265="Transfer out"),COUNTIFS($M$7:$M$506,M265,$D$7:$D$506,D265)&lt;&gt;2),"Check transfer pair",IF(AND(E265="Expense",K265=""),"Assign budget fund",IF(AND(E265="Expense",L265=""),"Add receipt / proof",""))))))))))</x:f>
      </x:c>
    </x:row>
    <x:row r="266" ht="24" customHeight="1">
      <x:c r="A266" s="10"/>
      <x:c r="B266" s="5"/>
      <x:c r="C266" s="10"/>
      <x:c r="D266" s="10"/>
      <x:c r="E266" s="10"/>
      <x:c r="F266" s="10"/>
      <x:c r="G266" s="10"/>
      <x:c r="H266" s="10"/>
      <x:c r="I266" s="11"/>
      <x:c r="J266" s="11"/>
      <x:c r="K266" s="10"/>
      <x:c r="L266" s="10"/>
      <x:c r="M266" s="10"/>
      <x:c r="N266" s="10"/>
      <x:c r="O266" s="1" t="str">
        <x:f>IF(COUNTA(A266:N266)=0,"",IF(OR(A266="",B266="",C266="",NOT(ISNUMBER(D266)),NOT(ISNUMBER(E266))),"Complete required fields",IF(COUNTIFS($A$7:$A$506,A266)&gt;1,"Duplicate ID",IF(COUNTIFS('Accounts'!$A$7:$A$26,C266,'Accounts'!$B$7:$B$26,D266)&lt;&gt;1,"Check account/currency",IF(OR(I266&lt;0,J266&lt;0,AND(I266&gt;0,J266&gt;0),AND(I266=0,J266=0)),"Check amounts",IF(OR(AND(E266="Income",J266&gt;0),AND(E266="Expense",I266&gt;0),AND(E266="Transfer in",J266&gt;0),AND(E266="Transfer out",I266&gt;0)),"Check type/direction",IF(AND(OR(E266="Transfer in",E266="Transfer out"),M266=""),"Add transfer pair ID",IF(AND(OR(E266="Transfer in",E266="Transfer out"),COUNTIFS($M$7:$M$506,M266,$D$7:$D$506,D266)&lt;&gt;2),"Check transfer pair",IF(AND(E266="Expense",K266=""),"Assign budget fund",IF(AND(E266="Expense",L266=""),"Add receipt / proof",""))))))))))</x:f>
      </x:c>
    </x:row>
    <x:row r="267" ht="24" customHeight="1">
      <x:c r="A267" s="10"/>
      <x:c r="B267" s="5"/>
      <x:c r="C267" s="10"/>
      <x:c r="D267" s="10"/>
      <x:c r="E267" s="10"/>
      <x:c r="F267" s="10"/>
      <x:c r="G267" s="10"/>
      <x:c r="H267" s="10"/>
      <x:c r="I267" s="11"/>
      <x:c r="J267" s="11"/>
      <x:c r="K267" s="10"/>
      <x:c r="L267" s="10"/>
      <x:c r="M267" s="10"/>
      <x:c r="N267" s="10"/>
      <x:c r="O267" s="1" t="str">
        <x:f>IF(COUNTA(A267:N267)=0,"",IF(OR(A267="",B267="",C267="",NOT(ISNUMBER(D267)),NOT(ISNUMBER(E267))),"Complete required fields",IF(COUNTIFS($A$7:$A$506,A267)&gt;1,"Duplicate ID",IF(COUNTIFS('Accounts'!$A$7:$A$26,C267,'Accounts'!$B$7:$B$26,D267)&lt;&gt;1,"Check account/currency",IF(OR(I267&lt;0,J267&lt;0,AND(I267&gt;0,J267&gt;0),AND(I267=0,J267=0)),"Check amounts",IF(OR(AND(E267="Income",J267&gt;0),AND(E267="Expense",I267&gt;0),AND(E267="Transfer in",J267&gt;0),AND(E267="Transfer out",I267&gt;0)),"Check type/direction",IF(AND(OR(E267="Transfer in",E267="Transfer out"),M267=""),"Add transfer pair ID",IF(AND(OR(E267="Transfer in",E267="Transfer out"),COUNTIFS($M$7:$M$506,M267,$D$7:$D$506,D267)&lt;&gt;2),"Check transfer pair",IF(AND(E267="Expense",K267=""),"Assign budget fund",IF(AND(E267="Expense",L267=""),"Add receipt / proof",""))))))))))</x:f>
      </x:c>
    </x:row>
    <x:row r="268" ht="24" customHeight="1">
      <x:c r="A268" s="10"/>
      <x:c r="B268" s="5"/>
      <x:c r="C268" s="10"/>
      <x:c r="D268" s="10"/>
      <x:c r="E268" s="10"/>
      <x:c r="F268" s="10"/>
      <x:c r="G268" s="10"/>
      <x:c r="H268" s="10"/>
      <x:c r="I268" s="11"/>
      <x:c r="J268" s="11"/>
      <x:c r="K268" s="10"/>
      <x:c r="L268" s="10"/>
      <x:c r="M268" s="10"/>
      <x:c r="N268" s="10"/>
      <x:c r="O268" s="1" t="str">
        <x:f>IF(COUNTA(A268:N268)=0,"",IF(OR(A268="",B268="",C268="",NOT(ISNUMBER(D268)),NOT(ISNUMBER(E268))),"Complete required fields",IF(COUNTIFS($A$7:$A$506,A268)&gt;1,"Duplicate ID",IF(COUNTIFS('Accounts'!$A$7:$A$26,C268,'Accounts'!$B$7:$B$26,D268)&lt;&gt;1,"Check account/currency",IF(OR(I268&lt;0,J268&lt;0,AND(I268&gt;0,J268&gt;0),AND(I268=0,J268=0)),"Check amounts",IF(OR(AND(E268="Income",J268&gt;0),AND(E268="Expense",I268&gt;0),AND(E268="Transfer in",J268&gt;0),AND(E268="Transfer out",I268&gt;0)),"Check type/direction",IF(AND(OR(E268="Transfer in",E268="Transfer out"),M268=""),"Add transfer pair ID",IF(AND(OR(E268="Transfer in",E268="Transfer out"),COUNTIFS($M$7:$M$506,M268,$D$7:$D$506,D268)&lt;&gt;2),"Check transfer pair",IF(AND(E268="Expense",K268=""),"Assign budget fund",IF(AND(E268="Expense",L268=""),"Add receipt / proof",""))))))))))</x:f>
      </x:c>
    </x:row>
    <x:row r="269" ht="24" customHeight="1">
      <x:c r="A269" s="10"/>
      <x:c r="B269" s="5"/>
      <x:c r="C269" s="10"/>
      <x:c r="D269" s="10"/>
      <x:c r="E269" s="10"/>
      <x:c r="F269" s="10"/>
      <x:c r="G269" s="10"/>
      <x:c r="H269" s="10"/>
      <x:c r="I269" s="11"/>
      <x:c r="J269" s="11"/>
      <x:c r="K269" s="10"/>
      <x:c r="L269" s="10"/>
      <x:c r="M269" s="10"/>
      <x:c r="N269" s="10"/>
      <x:c r="O269" s="1" t="str">
        <x:f>IF(COUNTA(A269:N269)=0,"",IF(OR(A269="",B269="",C269="",NOT(ISNUMBER(D269)),NOT(ISNUMBER(E269))),"Complete required fields",IF(COUNTIFS($A$7:$A$506,A269)&gt;1,"Duplicate ID",IF(COUNTIFS('Accounts'!$A$7:$A$26,C269,'Accounts'!$B$7:$B$26,D269)&lt;&gt;1,"Check account/currency",IF(OR(I269&lt;0,J269&lt;0,AND(I269&gt;0,J269&gt;0),AND(I269=0,J269=0)),"Check amounts",IF(OR(AND(E269="Income",J269&gt;0),AND(E269="Expense",I269&gt;0),AND(E269="Transfer in",J269&gt;0),AND(E269="Transfer out",I269&gt;0)),"Check type/direction",IF(AND(OR(E269="Transfer in",E269="Transfer out"),M269=""),"Add transfer pair ID",IF(AND(OR(E269="Transfer in",E269="Transfer out"),COUNTIFS($M$7:$M$506,M269,$D$7:$D$506,D269)&lt;&gt;2),"Check transfer pair",IF(AND(E269="Expense",K269=""),"Assign budget fund",IF(AND(E269="Expense",L269=""),"Add receipt / proof",""))))))))))</x:f>
      </x:c>
    </x:row>
    <x:row r="270" ht="24" customHeight="1">
      <x:c r="A270" s="10"/>
      <x:c r="B270" s="5"/>
      <x:c r="C270" s="10"/>
      <x:c r="D270" s="10"/>
      <x:c r="E270" s="10"/>
      <x:c r="F270" s="10"/>
      <x:c r="G270" s="10"/>
      <x:c r="H270" s="10"/>
      <x:c r="I270" s="11"/>
      <x:c r="J270" s="11"/>
      <x:c r="K270" s="10"/>
      <x:c r="L270" s="10"/>
      <x:c r="M270" s="10"/>
      <x:c r="N270" s="10"/>
      <x:c r="O270" s="1" t="str">
        <x:f>IF(COUNTA(A270:N270)=0,"",IF(OR(A270="",B270="",C270="",NOT(ISNUMBER(D270)),NOT(ISNUMBER(E270))),"Complete required fields",IF(COUNTIFS($A$7:$A$506,A270)&gt;1,"Duplicate ID",IF(COUNTIFS('Accounts'!$A$7:$A$26,C270,'Accounts'!$B$7:$B$26,D270)&lt;&gt;1,"Check account/currency",IF(OR(I270&lt;0,J270&lt;0,AND(I270&gt;0,J270&gt;0),AND(I270=0,J270=0)),"Check amounts",IF(OR(AND(E270="Income",J270&gt;0),AND(E270="Expense",I270&gt;0),AND(E270="Transfer in",J270&gt;0),AND(E270="Transfer out",I270&gt;0)),"Check type/direction",IF(AND(OR(E270="Transfer in",E270="Transfer out"),M270=""),"Add transfer pair ID",IF(AND(OR(E270="Transfer in",E270="Transfer out"),COUNTIFS($M$7:$M$506,M270,$D$7:$D$506,D270)&lt;&gt;2),"Check transfer pair",IF(AND(E270="Expense",K270=""),"Assign budget fund",IF(AND(E270="Expense",L270=""),"Add receipt / proof",""))))))))))</x:f>
      </x:c>
    </x:row>
    <x:row r="271" ht="24" customHeight="1">
      <x:c r="A271" s="10"/>
      <x:c r="B271" s="5"/>
      <x:c r="C271" s="10"/>
      <x:c r="D271" s="10"/>
      <x:c r="E271" s="10"/>
      <x:c r="F271" s="10"/>
      <x:c r="G271" s="10"/>
      <x:c r="H271" s="10"/>
      <x:c r="I271" s="11"/>
      <x:c r="J271" s="11"/>
      <x:c r="K271" s="10"/>
      <x:c r="L271" s="10"/>
      <x:c r="M271" s="10"/>
      <x:c r="N271" s="10"/>
      <x:c r="O271" s="1" t="str">
        <x:f>IF(COUNTA(A271:N271)=0,"",IF(OR(A271="",B271="",C271="",NOT(ISNUMBER(D271)),NOT(ISNUMBER(E271))),"Complete required fields",IF(COUNTIFS($A$7:$A$506,A271)&gt;1,"Duplicate ID",IF(COUNTIFS('Accounts'!$A$7:$A$26,C271,'Accounts'!$B$7:$B$26,D271)&lt;&gt;1,"Check account/currency",IF(OR(I271&lt;0,J271&lt;0,AND(I271&gt;0,J271&gt;0),AND(I271=0,J271=0)),"Check amounts",IF(OR(AND(E271="Income",J271&gt;0),AND(E271="Expense",I271&gt;0),AND(E271="Transfer in",J271&gt;0),AND(E271="Transfer out",I271&gt;0)),"Check type/direction",IF(AND(OR(E271="Transfer in",E271="Transfer out"),M271=""),"Add transfer pair ID",IF(AND(OR(E271="Transfer in",E271="Transfer out"),COUNTIFS($M$7:$M$506,M271,$D$7:$D$506,D271)&lt;&gt;2),"Check transfer pair",IF(AND(E271="Expense",K271=""),"Assign budget fund",IF(AND(E271="Expense",L271=""),"Add receipt / proof",""))))))))))</x:f>
      </x:c>
    </x:row>
    <x:row r="272" ht="24" customHeight="1">
      <x:c r="A272" s="10"/>
      <x:c r="B272" s="5"/>
      <x:c r="C272" s="10"/>
      <x:c r="D272" s="10"/>
      <x:c r="E272" s="10"/>
      <x:c r="F272" s="10"/>
      <x:c r="G272" s="10"/>
      <x:c r="H272" s="10"/>
      <x:c r="I272" s="11"/>
      <x:c r="J272" s="11"/>
      <x:c r="K272" s="10"/>
      <x:c r="L272" s="10"/>
      <x:c r="M272" s="10"/>
      <x:c r="N272" s="10"/>
      <x:c r="O272" s="1" t="str">
        <x:f>IF(COUNTA(A272:N272)=0,"",IF(OR(A272="",B272="",C272="",NOT(ISNUMBER(D272)),NOT(ISNUMBER(E272))),"Complete required fields",IF(COUNTIFS($A$7:$A$506,A272)&gt;1,"Duplicate ID",IF(COUNTIFS('Accounts'!$A$7:$A$26,C272,'Accounts'!$B$7:$B$26,D272)&lt;&gt;1,"Check account/currency",IF(OR(I272&lt;0,J272&lt;0,AND(I272&gt;0,J272&gt;0),AND(I272=0,J272=0)),"Check amounts",IF(OR(AND(E272="Income",J272&gt;0),AND(E272="Expense",I272&gt;0),AND(E272="Transfer in",J272&gt;0),AND(E272="Transfer out",I272&gt;0)),"Check type/direction",IF(AND(OR(E272="Transfer in",E272="Transfer out"),M272=""),"Add transfer pair ID",IF(AND(OR(E272="Transfer in",E272="Transfer out"),COUNTIFS($M$7:$M$506,M272,$D$7:$D$506,D272)&lt;&gt;2),"Check transfer pair",IF(AND(E272="Expense",K272=""),"Assign budget fund",IF(AND(E272="Expense",L272=""),"Add receipt / proof",""))))))))))</x:f>
      </x:c>
    </x:row>
    <x:row r="273" ht="24" customHeight="1">
      <x:c r="A273" s="10"/>
      <x:c r="B273" s="5"/>
      <x:c r="C273" s="10"/>
      <x:c r="D273" s="10"/>
      <x:c r="E273" s="10"/>
      <x:c r="F273" s="10"/>
      <x:c r="G273" s="10"/>
      <x:c r="H273" s="10"/>
      <x:c r="I273" s="11"/>
      <x:c r="J273" s="11"/>
      <x:c r="K273" s="10"/>
      <x:c r="L273" s="10"/>
      <x:c r="M273" s="10"/>
      <x:c r="N273" s="10"/>
      <x:c r="O273" s="1" t="str">
        <x:f>IF(COUNTA(A273:N273)=0,"",IF(OR(A273="",B273="",C273="",NOT(ISNUMBER(D273)),NOT(ISNUMBER(E273))),"Complete required fields",IF(COUNTIFS($A$7:$A$506,A273)&gt;1,"Duplicate ID",IF(COUNTIFS('Accounts'!$A$7:$A$26,C273,'Accounts'!$B$7:$B$26,D273)&lt;&gt;1,"Check account/currency",IF(OR(I273&lt;0,J273&lt;0,AND(I273&gt;0,J273&gt;0),AND(I273=0,J273=0)),"Check amounts",IF(OR(AND(E273="Income",J273&gt;0),AND(E273="Expense",I273&gt;0),AND(E273="Transfer in",J273&gt;0),AND(E273="Transfer out",I273&gt;0)),"Check type/direction",IF(AND(OR(E273="Transfer in",E273="Transfer out"),M273=""),"Add transfer pair ID",IF(AND(OR(E273="Transfer in",E273="Transfer out"),COUNTIFS($M$7:$M$506,M273,$D$7:$D$506,D273)&lt;&gt;2),"Check transfer pair",IF(AND(E273="Expense",K273=""),"Assign budget fund",IF(AND(E273="Expense",L273=""),"Add receipt / proof",""))))))))))</x:f>
      </x:c>
    </x:row>
    <x:row r="274" ht="24" customHeight="1">
      <x:c r="A274" s="10"/>
      <x:c r="B274" s="5"/>
      <x:c r="C274" s="10"/>
      <x:c r="D274" s="10"/>
      <x:c r="E274" s="10"/>
      <x:c r="F274" s="10"/>
      <x:c r="G274" s="10"/>
      <x:c r="H274" s="10"/>
      <x:c r="I274" s="11"/>
      <x:c r="J274" s="11"/>
      <x:c r="K274" s="10"/>
      <x:c r="L274" s="10"/>
      <x:c r="M274" s="10"/>
      <x:c r="N274" s="10"/>
      <x:c r="O274" s="1" t="str">
        <x:f>IF(COUNTA(A274:N274)=0,"",IF(OR(A274="",B274="",C274="",NOT(ISNUMBER(D274)),NOT(ISNUMBER(E274))),"Complete required fields",IF(COUNTIFS($A$7:$A$506,A274)&gt;1,"Duplicate ID",IF(COUNTIFS('Accounts'!$A$7:$A$26,C274,'Accounts'!$B$7:$B$26,D274)&lt;&gt;1,"Check account/currency",IF(OR(I274&lt;0,J274&lt;0,AND(I274&gt;0,J274&gt;0),AND(I274=0,J274=0)),"Check amounts",IF(OR(AND(E274="Income",J274&gt;0),AND(E274="Expense",I274&gt;0),AND(E274="Transfer in",J274&gt;0),AND(E274="Transfer out",I274&gt;0)),"Check type/direction",IF(AND(OR(E274="Transfer in",E274="Transfer out"),M274=""),"Add transfer pair ID",IF(AND(OR(E274="Transfer in",E274="Transfer out"),COUNTIFS($M$7:$M$506,M274,$D$7:$D$506,D274)&lt;&gt;2),"Check transfer pair",IF(AND(E274="Expense",K274=""),"Assign budget fund",IF(AND(E274="Expense",L274=""),"Add receipt / proof",""))))))))))</x:f>
      </x:c>
    </x:row>
    <x:row r="275" ht="24" customHeight="1">
      <x:c r="A275" s="10"/>
      <x:c r="B275" s="5"/>
      <x:c r="C275" s="10"/>
      <x:c r="D275" s="10"/>
      <x:c r="E275" s="10"/>
      <x:c r="F275" s="10"/>
      <x:c r="G275" s="10"/>
      <x:c r="H275" s="10"/>
      <x:c r="I275" s="11"/>
      <x:c r="J275" s="11"/>
      <x:c r="K275" s="10"/>
      <x:c r="L275" s="10"/>
      <x:c r="M275" s="10"/>
      <x:c r="N275" s="10"/>
      <x:c r="O275" s="1" t="str">
        <x:f>IF(COUNTA(A275:N275)=0,"",IF(OR(A275="",B275="",C275="",NOT(ISNUMBER(D275)),NOT(ISNUMBER(E275))),"Complete required fields",IF(COUNTIFS($A$7:$A$506,A275)&gt;1,"Duplicate ID",IF(COUNTIFS('Accounts'!$A$7:$A$26,C275,'Accounts'!$B$7:$B$26,D275)&lt;&gt;1,"Check account/currency",IF(OR(I275&lt;0,J275&lt;0,AND(I275&gt;0,J275&gt;0),AND(I275=0,J275=0)),"Check amounts",IF(OR(AND(E275="Income",J275&gt;0),AND(E275="Expense",I275&gt;0),AND(E275="Transfer in",J275&gt;0),AND(E275="Transfer out",I275&gt;0)),"Check type/direction",IF(AND(OR(E275="Transfer in",E275="Transfer out"),M275=""),"Add transfer pair ID",IF(AND(OR(E275="Transfer in",E275="Transfer out"),COUNTIFS($M$7:$M$506,M275,$D$7:$D$506,D275)&lt;&gt;2),"Check transfer pair",IF(AND(E275="Expense",K275=""),"Assign budget fund",IF(AND(E275="Expense",L275=""),"Add receipt / proof",""))))))))))</x:f>
      </x:c>
    </x:row>
    <x:row r="276" ht="24" customHeight="1">
      <x:c r="A276" s="10"/>
      <x:c r="B276" s="5"/>
      <x:c r="C276" s="10"/>
      <x:c r="D276" s="10"/>
      <x:c r="E276" s="10"/>
      <x:c r="F276" s="10"/>
      <x:c r="G276" s="10"/>
      <x:c r="H276" s="10"/>
      <x:c r="I276" s="11"/>
      <x:c r="J276" s="11"/>
      <x:c r="K276" s="10"/>
      <x:c r="L276" s="10"/>
      <x:c r="M276" s="10"/>
      <x:c r="N276" s="10"/>
      <x:c r="O276" s="1" t="str">
        <x:f>IF(COUNTA(A276:N276)=0,"",IF(OR(A276="",B276="",C276="",NOT(ISNUMBER(D276)),NOT(ISNUMBER(E276))),"Complete required fields",IF(COUNTIFS($A$7:$A$506,A276)&gt;1,"Duplicate ID",IF(COUNTIFS('Accounts'!$A$7:$A$26,C276,'Accounts'!$B$7:$B$26,D276)&lt;&gt;1,"Check account/currency",IF(OR(I276&lt;0,J276&lt;0,AND(I276&gt;0,J276&gt;0),AND(I276=0,J276=0)),"Check amounts",IF(OR(AND(E276="Income",J276&gt;0),AND(E276="Expense",I276&gt;0),AND(E276="Transfer in",J276&gt;0),AND(E276="Transfer out",I276&gt;0)),"Check type/direction",IF(AND(OR(E276="Transfer in",E276="Transfer out"),M276=""),"Add transfer pair ID",IF(AND(OR(E276="Transfer in",E276="Transfer out"),COUNTIFS($M$7:$M$506,M276,$D$7:$D$506,D276)&lt;&gt;2),"Check transfer pair",IF(AND(E276="Expense",K276=""),"Assign budget fund",IF(AND(E276="Expense",L276=""),"Add receipt / proof",""))))))))))</x:f>
      </x:c>
    </x:row>
    <x:row r="277" ht="24" customHeight="1">
      <x:c r="A277" s="10"/>
      <x:c r="B277" s="5"/>
      <x:c r="C277" s="10"/>
      <x:c r="D277" s="10"/>
      <x:c r="E277" s="10"/>
      <x:c r="F277" s="10"/>
      <x:c r="G277" s="10"/>
      <x:c r="H277" s="10"/>
      <x:c r="I277" s="11"/>
      <x:c r="J277" s="11"/>
      <x:c r="K277" s="10"/>
      <x:c r="L277" s="10"/>
      <x:c r="M277" s="10"/>
      <x:c r="N277" s="10"/>
      <x:c r="O277" s="1" t="str">
        <x:f>IF(COUNTA(A277:N277)=0,"",IF(OR(A277="",B277="",C277="",NOT(ISNUMBER(D277)),NOT(ISNUMBER(E277))),"Complete required fields",IF(COUNTIFS($A$7:$A$506,A277)&gt;1,"Duplicate ID",IF(COUNTIFS('Accounts'!$A$7:$A$26,C277,'Accounts'!$B$7:$B$26,D277)&lt;&gt;1,"Check account/currency",IF(OR(I277&lt;0,J277&lt;0,AND(I277&gt;0,J277&gt;0),AND(I277=0,J277=0)),"Check amounts",IF(OR(AND(E277="Income",J277&gt;0),AND(E277="Expense",I277&gt;0),AND(E277="Transfer in",J277&gt;0),AND(E277="Transfer out",I277&gt;0)),"Check type/direction",IF(AND(OR(E277="Transfer in",E277="Transfer out"),M277=""),"Add transfer pair ID",IF(AND(OR(E277="Transfer in",E277="Transfer out"),COUNTIFS($M$7:$M$506,M277,$D$7:$D$506,D277)&lt;&gt;2),"Check transfer pair",IF(AND(E277="Expense",K277=""),"Assign budget fund",IF(AND(E277="Expense",L277=""),"Add receipt / proof",""))))))))))</x:f>
      </x:c>
    </x:row>
    <x:row r="278" ht="24" customHeight="1">
      <x:c r="A278" s="10"/>
      <x:c r="B278" s="5"/>
      <x:c r="C278" s="10"/>
      <x:c r="D278" s="10"/>
      <x:c r="E278" s="10"/>
      <x:c r="F278" s="10"/>
      <x:c r="G278" s="10"/>
      <x:c r="H278" s="10"/>
      <x:c r="I278" s="11"/>
      <x:c r="J278" s="11"/>
      <x:c r="K278" s="10"/>
      <x:c r="L278" s="10"/>
      <x:c r="M278" s="10"/>
      <x:c r="N278" s="10"/>
      <x:c r="O278" s="1" t="str">
        <x:f>IF(COUNTA(A278:N278)=0,"",IF(OR(A278="",B278="",C278="",NOT(ISNUMBER(D278)),NOT(ISNUMBER(E278))),"Complete required fields",IF(COUNTIFS($A$7:$A$506,A278)&gt;1,"Duplicate ID",IF(COUNTIFS('Accounts'!$A$7:$A$26,C278,'Accounts'!$B$7:$B$26,D278)&lt;&gt;1,"Check account/currency",IF(OR(I278&lt;0,J278&lt;0,AND(I278&gt;0,J278&gt;0),AND(I278=0,J278=0)),"Check amounts",IF(OR(AND(E278="Income",J278&gt;0),AND(E278="Expense",I278&gt;0),AND(E278="Transfer in",J278&gt;0),AND(E278="Transfer out",I278&gt;0)),"Check type/direction",IF(AND(OR(E278="Transfer in",E278="Transfer out"),M278=""),"Add transfer pair ID",IF(AND(OR(E278="Transfer in",E278="Transfer out"),COUNTIFS($M$7:$M$506,M278,$D$7:$D$506,D278)&lt;&gt;2),"Check transfer pair",IF(AND(E278="Expense",K278=""),"Assign budget fund",IF(AND(E278="Expense",L278=""),"Add receipt / proof",""))))))))))</x:f>
      </x:c>
    </x:row>
    <x:row r="279" ht="24" customHeight="1">
      <x:c r="A279" s="10"/>
      <x:c r="B279" s="5"/>
      <x:c r="C279" s="10"/>
      <x:c r="D279" s="10"/>
      <x:c r="E279" s="10"/>
      <x:c r="F279" s="10"/>
      <x:c r="G279" s="10"/>
      <x:c r="H279" s="10"/>
      <x:c r="I279" s="11"/>
      <x:c r="J279" s="11"/>
      <x:c r="K279" s="10"/>
      <x:c r="L279" s="10"/>
      <x:c r="M279" s="10"/>
      <x:c r="N279" s="10"/>
      <x:c r="O279" s="1" t="str">
        <x:f>IF(COUNTA(A279:N279)=0,"",IF(OR(A279="",B279="",C279="",NOT(ISNUMBER(D279)),NOT(ISNUMBER(E279))),"Complete required fields",IF(COUNTIFS($A$7:$A$506,A279)&gt;1,"Duplicate ID",IF(COUNTIFS('Accounts'!$A$7:$A$26,C279,'Accounts'!$B$7:$B$26,D279)&lt;&gt;1,"Check account/currency",IF(OR(I279&lt;0,J279&lt;0,AND(I279&gt;0,J279&gt;0),AND(I279=0,J279=0)),"Check amounts",IF(OR(AND(E279="Income",J279&gt;0),AND(E279="Expense",I279&gt;0),AND(E279="Transfer in",J279&gt;0),AND(E279="Transfer out",I279&gt;0)),"Check type/direction",IF(AND(OR(E279="Transfer in",E279="Transfer out"),M279=""),"Add transfer pair ID",IF(AND(OR(E279="Transfer in",E279="Transfer out"),COUNTIFS($M$7:$M$506,M279,$D$7:$D$506,D279)&lt;&gt;2),"Check transfer pair",IF(AND(E279="Expense",K279=""),"Assign budget fund",IF(AND(E279="Expense",L279=""),"Add receipt / proof",""))))))))))</x:f>
      </x:c>
    </x:row>
    <x:row r="280" ht="24" customHeight="1">
      <x:c r="A280" s="10"/>
      <x:c r="B280" s="5"/>
      <x:c r="C280" s="10"/>
      <x:c r="D280" s="10"/>
      <x:c r="E280" s="10"/>
      <x:c r="F280" s="10"/>
      <x:c r="G280" s="10"/>
      <x:c r="H280" s="10"/>
      <x:c r="I280" s="11"/>
      <x:c r="J280" s="11"/>
      <x:c r="K280" s="10"/>
      <x:c r="L280" s="10"/>
      <x:c r="M280" s="10"/>
      <x:c r="N280" s="10"/>
      <x:c r="O280" s="1" t="str">
        <x:f>IF(COUNTA(A280:N280)=0,"",IF(OR(A280="",B280="",C280="",NOT(ISNUMBER(D280)),NOT(ISNUMBER(E280))),"Complete required fields",IF(COUNTIFS($A$7:$A$506,A280)&gt;1,"Duplicate ID",IF(COUNTIFS('Accounts'!$A$7:$A$26,C280,'Accounts'!$B$7:$B$26,D280)&lt;&gt;1,"Check account/currency",IF(OR(I280&lt;0,J280&lt;0,AND(I280&gt;0,J280&gt;0),AND(I280=0,J280=0)),"Check amounts",IF(OR(AND(E280="Income",J280&gt;0),AND(E280="Expense",I280&gt;0),AND(E280="Transfer in",J280&gt;0),AND(E280="Transfer out",I280&gt;0)),"Check type/direction",IF(AND(OR(E280="Transfer in",E280="Transfer out"),M280=""),"Add transfer pair ID",IF(AND(OR(E280="Transfer in",E280="Transfer out"),COUNTIFS($M$7:$M$506,M280,$D$7:$D$506,D280)&lt;&gt;2),"Check transfer pair",IF(AND(E280="Expense",K280=""),"Assign budget fund",IF(AND(E280="Expense",L280=""),"Add receipt / proof",""))))))))))</x:f>
      </x:c>
    </x:row>
    <x:row r="281" ht="24" customHeight="1">
      <x:c r="A281" s="10"/>
      <x:c r="B281" s="5"/>
      <x:c r="C281" s="10"/>
      <x:c r="D281" s="10"/>
      <x:c r="E281" s="10"/>
      <x:c r="F281" s="10"/>
      <x:c r="G281" s="10"/>
      <x:c r="H281" s="10"/>
      <x:c r="I281" s="11"/>
      <x:c r="J281" s="11"/>
      <x:c r="K281" s="10"/>
      <x:c r="L281" s="10"/>
      <x:c r="M281" s="10"/>
      <x:c r="N281" s="10"/>
      <x:c r="O281" s="1" t="str">
        <x:f>IF(COUNTA(A281:N281)=0,"",IF(OR(A281="",B281="",C281="",NOT(ISNUMBER(D281)),NOT(ISNUMBER(E281))),"Complete required fields",IF(COUNTIFS($A$7:$A$506,A281)&gt;1,"Duplicate ID",IF(COUNTIFS('Accounts'!$A$7:$A$26,C281,'Accounts'!$B$7:$B$26,D281)&lt;&gt;1,"Check account/currency",IF(OR(I281&lt;0,J281&lt;0,AND(I281&gt;0,J281&gt;0),AND(I281=0,J281=0)),"Check amounts",IF(OR(AND(E281="Income",J281&gt;0),AND(E281="Expense",I281&gt;0),AND(E281="Transfer in",J281&gt;0),AND(E281="Transfer out",I281&gt;0)),"Check type/direction",IF(AND(OR(E281="Transfer in",E281="Transfer out"),M281=""),"Add transfer pair ID",IF(AND(OR(E281="Transfer in",E281="Transfer out"),COUNTIFS($M$7:$M$506,M281,$D$7:$D$506,D281)&lt;&gt;2),"Check transfer pair",IF(AND(E281="Expense",K281=""),"Assign budget fund",IF(AND(E281="Expense",L281=""),"Add receipt / proof",""))))))))))</x:f>
      </x:c>
    </x:row>
    <x:row r="282" ht="24" customHeight="1">
      <x:c r="A282" s="10"/>
      <x:c r="B282" s="5"/>
      <x:c r="C282" s="10"/>
      <x:c r="D282" s="10"/>
      <x:c r="E282" s="10"/>
      <x:c r="F282" s="10"/>
      <x:c r="G282" s="10"/>
      <x:c r="H282" s="10"/>
      <x:c r="I282" s="11"/>
      <x:c r="J282" s="11"/>
      <x:c r="K282" s="10"/>
      <x:c r="L282" s="10"/>
      <x:c r="M282" s="10"/>
      <x:c r="N282" s="10"/>
      <x:c r="O282" s="1" t="str">
        <x:f>IF(COUNTA(A282:N282)=0,"",IF(OR(A282="",B282="",C282="",NOT(ISNUMBER(D282)),NOT(ISNUMBER(E282))),"Complete required fields",IF(COUNTIFS($A$7:$A$506,A282)&gt;1,"Duplicate ID",IF(COUNTIFS('Accounts'!$A$7:$A$26,C282,'Accounts'!$B$7:$B$26,D282)&lt;&gt;1,"Check account/currency",IF(OR(I282&lt;0,J282&lt;0,AND(I282&gt;0,J282&gt;0),AND(I282=0,J282=0)),"Check amounts",IF(OR(AND(E282="Income",J282&gt;0),AND(E282="Expense",I282&gt;0),AND(E282="Transfer in",J282&gt;0),AND(E282="Transfer out",I282&gt;0)),"Check type/direction",IF(AND(OR(E282="Transfer in",E282="Transfer out"),M282=""),"Add transfer pair ID",IF(AND(OR(E282="Transfer in",E282="Transfer out"),COUNTIFS($M$7:$M$506,M282,$D$7:$D$506,D282)&lt;&gt;2),"Check transfer pair",IF(AND(E282="Expense",K282=""),"Assign budget fund",IF(AND(E282="Expense",L282=""),"Add receipt / proof",""))))))))))</x:f>
      </x:c>
    </x:row>
    <x:row r="283" ht="24" customHeight="1">
      <x:c r="A283" s="10"/>
      <x:c r="B283" s="5"/>
      <x:c r="C283" s="10"/>
      <x:c r="D283" s="10"/>
      <x:c r="E283" s="10"/>
      <x:c r="F283" s="10"/>
      <x:c r="G283" s="10"/>
      <x:c r="H283" s="10"/>
      <x:c r="I283" s="11"/>
      <x:c r="J283" s="11"/>
      <x:c r="K283" s="10"/>
      <x:c r="L283" s="10"/>
      <x:c r="M283" s="10"/>
      <x:c r="N283" s="10"/>
      <x:c r="O283" s="1" t="str">
        <x:f>IF(COUNTA(A283:N283)=0,"",IF(OR(A283="",B283="",C283="",NOT(ISNUMBER(D283)),NOT(ISNUMBER(E283))),"Complete required fields",IF(COUNTIFS($A$7:$A$506,A283)&gt;1,"Duplicate ID",IF(COUNTIFS('Accounts'!$A$7:$A$26,C283,'Accounts'!$B$7:$B$26,D283)&lt;&gt;1,"Check account/currency",IF(OR(I283&lt;0,J283&lt;0,AND(I283&gt;0,J283&gt;0),AND(I283=0,J283=0)),"Check amounts",IF(OR(AND(E283="Income",J283&gt;0),AND(E283="Expense",I283&gt;0),AND(E283="Transfer in",J283&gt;0),AND(E283="Transfer out",I283&gt;0)),"Check type/direction",IF(AND(OR(E283="Transfer in",E283="Transfer out"),M283=""),"Add transfer pair ID",IF(AND(OR(E283="Transfer in",E283="Transfer out"),COUNTIFS($M$7:$M$506,M283,$D$7:$D$506,D283)&lt;&gt;2),"Check transfer pair",IF(AND(E283="Expense",K283=""),"Assign budget fund",IF(AND(E283="Expense",L283=""),"Add receipt / proof",""))))))))))</x:f>
      </x:c>
    </x:row>
    <x:row r="284" ht="24" customHeight="1">
      <x:c r="A284" s="10"/>
      <x:c r="B284" s="5"/>
      <x:c r="C284" s="10"/>
      <x:c r="D284" s="10"/>
      <x:c r="E284" s="10"/>
      <x:c r="F284" s="10"/>
      <x:c r="G284" s="10"/>
      <x:c r="H284" s="10"/>
      <x:c r="I284" s="11"/>
      <x:c r="J284" s="11"/>
      <x:c r="K284" s="10"/>
      <x:c r="L284" s="10"/>
      <x:c r="M284" s="10"/>
      <x:c r="N284" s="10"/>
      <x:c r="O284" s="1" t="str">
        <x:f>IF(COUNTA(A284:N284)=0,"",IF(OR(A284="",B284="",C284="",NOT(ISNUMBER(D284)),NOT(ISNUMBER(E284))),"Complete required fields",IF(COUNTIFS($A$7:$A$506,A284)&gt;1,"Duplicate ID",IF(COUNTIFS('Accounts'!$A$7:$A$26,C284,'Accounts'!$B$7:$B$26,D284)&lt;&gt;1,"Check account/currency",IF(OR(I284&lt;0,J284&lt;0,AND(I284&gt;0,J284&gt;0),AND(I284=0,J284=0)),"Check amounts",IF(OR(AND(E284="Income",J284&gt;0),AND(E284="Expense",I284&gt;0),AND(E284="Transfer in",J284&gt;0),AND(E284="Transfer out",I284&gt;0)),"Check type/direction",IF(AND(OR(E284="Transfer in",E284="Transfer out"),M284=""),"Add transfer pair ID",IF(AND(OR(E284="Transfer in",E284="Transfer out"),COUNTIFS($M$7:$M$506,M284,$D$7:$D$506,D284)&lt;&gt;2),"Check transfer pair",IF(AND(E284="Expense",K284=""),"Assign budget fund",IF(AND(E284="Expense",L284=""),"Add receipt / proof",""))))))))))</x:f>
      </x:c>
    </x:row>
    <x:row r="285" ht="24" customHeight="1">
      <x:c r="A285" s="10"/>
      <x:c r="B285" s="5"/>
      <x:c r="C285" s="10"/>
      <x:c r="D285" s="10"/>
      <x:c r="E285" s="10"/>
      <x:c r="F285" s="10"/>
      <x:c r="G285" s="10"/>
      <x:c r="H285" s="10"/>
      <x:c r="I285" s="11"/>
      <x:c r="J285" s="11"/>
      <x:c r="K285" s="10"/>
      <x:c r="L285" s="10"/>
      <x:c r="M285" s="10"/>
      <x:c r="N285" s="10"/>
      <x:c r="O285" s="1" t="str">
        <x:f>IF(COUNTA(A285:N285)=0,"",IF(OR(A285="",B285="",C285="",NOT(ISNUMBER(D285)),NOT(ISNUMBER(E285))),"Complete required fields",IF(COUNTIFS($A$7:$A$506,A285)&gt;1,"Duplicate ID",IF(COUNTIFS('Accounts'!$A$7:$A$26,C285,'Accounts'!$B$7:$B$26,D285)&lt;&gt;1,"Check account/currency",IF(OR(I285&lt;0,J285&lt;0,AND(I285&gt;0,J285&gt;0),AND(I285=0,J285=0)),"Check amounts",IF(OR(AND(E285="Income",J285&gt;0),AND(E285="Expense",I285&gt;0),AND(E285="Transfer in",J285&gt;0),AND(E285="Transfer out",I285&gt;0)),"Check type/direction",IF(AND(OR(E285="Transfer in",E285="Transfer out"),M285=""),"Add transfer pair ID",IF(AND(OR(E285="Transfer in",E285="Transfer out"),COUNTIFS($M$7:$M$506,M285,$D$7:$D$506,D285)&lt;&gt;2),"Check transfer pair",IF(AND(E285="Expense",K285=""),"Assign budget fund",IF(AND(E285="Expense",L285=""),"Add receipt / proof",""))))))))))</x:f>
      </x:c>
    </x:row>
    <x:row r="286" ht="24" customHeight="1">
      <x:c r="A286" s="10"/>
      <x:c r="B286" s="5"/>
      <x:c r="C286" s="10"/>
      <x:c r="D286" s="10"/>
      <x:c r="E286" s="10"/>
      <x:c r="F286" s="10"/>
      <x:c r="G286" s="10"/>
      <x:c r="H286" s="10"/>
      <x:c r="I286" s="11"/>
      <x:c r="J286" s="11"/>
      <x:c r="K286" s="10"/>
      <x:c r="L286" s="10"/>
      <x:c r="M286" s="10"/>
      <x:c r="N286" s="10"/>
      <x:c r="O286" s="1" t="str">
        <x:f>IF(COUNTA(A286:N286)=0,"",IF(OR(A286="",B286="",C286="",NOT(ISNUMBER(D286)),NOT(ISNUMBER(E286))),"Complete required fields",IF(COUNTIFS($A$7:$A$506,A286)&gt;1,"Duplicate ID",IF(COUNTIFS('Accounts'!$A$7:$A$26,C286,'Accounts'!$B$7:$B$26,D286)&lt;&gt;1,"Check account/currency",IF(OR(I286&lt;0,J286&lt;0,AND(I286&gt;0,J286&gt;0),AND(I286=0,J286=0)),"Check amounts",IF(OR(AND(E286="Income",J286&gt;0),AND(E286="Expense",I286&gt;0),AND(E286="Transfer in",J286&gt;0),AND(E286="Transfer out",I286&gt;0)),"Check type/direction",IF(AND(OR(E286="Transfer in",E286="Transfer out"),M286=""),"Add transfer pair ID",IF(AND(OR(E286="Transfer in",E286="Transfer out"),COUNTIFS($M$7:$M$506,M286,$D$7:$D$506,D286)&lt;&gt;2),"Check transfer pair",IF(AND(E286="Expense",K286=""),"Assign budget fund",IF(AND(E286="Expense",L286=""),"Add receipt / proof",""))))))))))</x:f>
      </x:c>
    </x:row>
    <x:row r="287" ht="24" customHeight="1">
      <x:c r="A287" s="10"/>
      <x:c r="B287" s="5"/>
      <x:c r="C287" s="10"/>
      <x:c r="D287" s="10"/>
      <x:c r="E287" s="10"/>
      <x:c r="F287" s="10"/>
      <x:c r="G287" s="10"/>
      <x:c r="H287" s="10"/>
      <x:c r="I287" s="11"/>
      <x:c r="J287" s="11"/>
      <x:c r="K287" s="10"/>
      <x:c r="L287" s="10"/>
      <x:c r="M287" s="10"/>
      <x:c r="N287" s="10"/>
      <x:c r="O287" s="1" t="str">
        <x:f>IF(COUNTA(A287:N287)=0,"",IF(OR(A287="",B287="",C287="",NOT(ISNUMBER(D287)),NOT(ISNUMBER(E287))),"Complete required fields",IF(COUNTIFS($A$7:$A$506,A287)&gt;1,"Duplicate ID",IF(COUNTIFS('Accounts'!$A$7:$A$26,C287,'Accounts'!$B$7:$B$26,D287)&lt;&gt;1,"Check account/currency",IF(OR(I287&lt;0,J287&lt;0,AND(I287&gt;0,J287&gt;0),AND(I287=0,J287=0)),"Check amounts",IF(OR(AND(E287="Income",J287&gt;0),AND(E287="Expense",I287&gt;0),AND(E287="Transfer in",J287&gt;0),AND(E287="Transfer out",I287&gt;0)),"Check type/direction",IF(AND(OR(E287="Transfer in",E287="Transfer out"),M287=""),"Add transfer pair ID",IF(AND(OR(E287="Transfer in",E287="Transfer out"),COUNTIFS($M$7:$M$506,M287,$D$7:$D$506,D287)&lt;&gt;2),"Check transfer pair",IF(AND(E287="Expense",K287=""),"Assign budget fund",IF(AND(E287="Expense",L287=""),"Add receipt / proof",""))))))))))</x:f>
      </x:c>
    </x:row>
    <x:row r="288" ht="24" customHeight="1">
      <x:c r="A288" s="10"/>
      <x:c r="B288" s="5"/>
      <x:c r="C288" s="10"/>
      <x:c r="D288" s="10"/>
      <x:c r="E288" s="10"/>
      <x:c r="F288" s="10"/>
      <x:c r="G288" s="10"/>
      <x:c r="H288" s="10"/>
      <x:c r="I288" s="11"/>
      <x:c r="J288" s="11"/>
      <x:c r="K288" s="10"/>
      <x:c r="L288" s="10"/>
      <x:c r="M288" s="10"/>
      <x:c r="N288" s="10"/>
      <x:c r="O288" s="1" t="str">
        <x:f>IF(COUNTA(A288:N288)=0,"",IF(OR(A288="",B288="",C288="",NOT(ISNUMBER(D288)),NOT(ISNUMBER(E288))),"Complete required fields",IF(COUNTIFS($A$7:$A$506,A288)&gt;1,"Duplicate ID",IF(COUNTIFS('Accounts'!$A$7:$A$26,C288,'Accounts'!$B$7:$B$26,D288)&lt;&gt;1,"Check account/currency",IF(OR(I288&lt;0,J288&lt;0,AND(I288&gt;0,J288&gt;0),AND(I288=0,J288=0)),"Check amounts",IF(OR(AND(E288="Income",J288&gt;0),AND(E288="Expense",I288&gt;0),AND(E288="Transfer in",J288&gt;0),AND(E288="Transfer out",I288&gt;0)),"Check type/direction",IF(AND(OR(E288="Transfer in",E288="Transfer out"),M288=""),"Add transfer pair ID",IF(AND(OR(E288="Transfer in",E288="Transfer out"),COUNTIFS($M$7:$M$506,M288,$D$7:$D$506,D288)&lt;&gt;2),"Check transfer pair",IF(AND(E288="Expense",K288=""),"Assign budget fund",IF(AND(E288="Expense",L288=""),"Add receipt / proof",""))))))))))</x:f>
      </x:c>
    </x:row>
    <x:row r="289" ht="24" customHeight="1">
      <x:c r="A289" s="10"/>
      <x:c r="B289" s="5"/>
      <x:c r="C289" s="10"/>
      <x:c r="D289" s="10"/>
      <x:c r="E289" s="10"/>
      <x:c r="F289" s="10"/>
      <x:c r="G289" s="10"/>
      <x:c r="H289" s="10"/>
      <x:c r="I289" s="11"/>
      <x:c r="J289" s="11"/>
      <x:c r="K289" s="10"/>
      <x:c r="L289" s="10"/>
      <x:c r="M289" s="10"/>
      <x:c r="N289" s="10"/>
      <x:c r="O289" s="1" t="str">
        <x:f>IF(COUNTA(A289:N289)=0,"",IF(OR(A289="",B289="",C289="",NOT(ISNUMBER(D289)),NOT(ISNUMBER(E289))),"Complete required fields",IF(COUNTIFS($A$7:$A$506,A289)&gt;1,"Duplicate ID",IF(COUNTIFS('Accounts'!$A$7:$A$26,C289,'Accounts'!$B$7:$B$26,D289)&lt;&gt;1,"Check account/currency",IF(OR(I289&lt;0,J289&lt;0,AND(I289&gt;0,J289&gt;0),AND(I289=0,J289=0)),"Check amounts",IF(OR(AND(E289="Income",J289&gt;0),AND(E289="Expense",I289&gt;0),AND(E289="Transfer in",J289&gt;0),AND(E289="Transfer out",I289&gt;0)),"Check type/direction",IF(AND(OR(E289="Transfer in",E289="Transfer out"),M289=""),"Add transfer pair ID",IF(AND(OR(E289="Transfer in",E289="Transfer out"),COUNTIFS($M$7:$M$506,M289,$D$7:$D$506,D289)&lt;&gt;2),"Check transfer pair",IF(AND(E289="Expense",K289=""),"Assign budget fund",IF(AND(E289="Expense",L289=""),"Add receipt / proof",""))))))))))</x:f>
      </x:c>
    </x:row>
    <x:row r="290" ht="24" customHeight="1">
      <x:c r="A290" s="10"/>
      <x:c r="B290" s="5"/>
      <x:c r="C290" s="10"/>
      <x:c r="D290" s="10"/>
      <x:c r="E290" s="10"/>
      <x:c r="F290" s="10"/>
      <x:c r="G290" s="10"/>
      <x:c r="H290" s="10"/>
      <x:c r="I290" s="11"/>
      <x:c r="J290" s="11"/>
      <x:c r="K290" s="10"/>
      <x:c r="L290" s="10"/>
      <x:c r="M290" s="10"/>
      <x:c r="N290" s="10"/>
      <x:c r="O290" s="1" t="str">
        <x:f>IF(COUNTA(A290:N290)=0,"",IF(OR(A290="",B290="",C290="",NOT(ISNUMBER(D290)),NOT(ISNUMBER(E290))),"Complete required fields",IF(COUNTIFS($A$7:$A$506,A290)&gt;1,"Duplicate ID",IF(COUNTIFS('Accounts'!$A$7:$A$26,C290,'Accounts'!$B$7:$B$26,D290)&lt;&gt;1,"Check account/currency",IF(OR(I290&lt;0,J290&lt;0,AND(I290&gt;0,J290&gt;0),AND(I290=0,J290=0)),"Check amounts",IF(OR(AND(E290="Income",J290&gt;0),AND(E290="Expense",I290&gt;0),AND(E290="Transfer in",J290&gt;0),AND(E290="Transfer out",I290&gt;0)),"Check type/direction",IF(AND(OR(E290="Transfer in",E290="Transfer out"),M290=""),"Add transfer pair ID",IF(AND(OR(E290="Transfer in",E290="Transfer out"),COUNTIFS($M$7:$M$506,M290,$D$7:$D$506,D290)&lt;&gt;2),"Check transfer pair",IF(AND(E290="Expense",K290=""),"Assign budget fund",IF(AND(E290="Expense",L290=""),"Add receipt / proof",""))))))))))</x:f>
      </x:c>
    </x:row>
    <x:row r="291" ht="24" customHeight="1">
      <x:c r="A291" s="10"/>
      <x:c r="B291" s="5"/>
      <x:c r="C291" s="10"/>
      <x:c r="D291" s="10"/>
      <x:c r="E291" s="10"/>
      <x:c r="F291" s="10"/>
      <x:c r="G291" s="10"/>
      <x:c r="H291" s="10"/>
      <x:c r="I291" s="11"/>
      <x:c r="J291" s="11"/>
      <x:c r="K291" s="10"/>
      <x:c r="L291" s="10"/>
      <x:c r="M291" s="10"/>
      <x:c r="N291" s="10"/>
      <x:c r="O291" s="1" t="str">
        <x:f>IF(COUNTA(A291:N291)=0,"",IF(OR(A291="",B291="",C291="",NOT(ISNUMBER(D291)),NOT(ISNUMBER(E291))),"Complete required fields",IF(COUNTIFS($A$7:$A$506,A291)&gt;1,"Duplicate ID",IF(COUNTIFS('Accounts'!$A$7:$A$26,C291,'Accounts'!$B$7:$B$26,D291)&lt;&gt;1,"Check account/currency",IF(OR(I291&lt;0,J291&lt;0,AND(I291&gt;0,J291&gt;0),AND(I291=0,J291=0)),"Check amounts",IF(OR(AND(E291="Income",J291&gt;0),AND(E291="Expense",I291&gt;0),AND(E291="Transfer in",J291&gt;0),AND(E291="Transfer out",I291&gt;0)),"Check type/direction",IF(AND(OR(E291="Transfer in",E291="Transfer out"),M291=""),"Add transfer pair ID",IF(AND(OR(E291="Transfer in",E291="Transfer out"),COUNTIFS($M$7:$M$506,M291,$D$7:$D$506,D291)&lt;&gt;2),"Check transfer pair",IF(AND(E291="Expense",K291=""),"Assign budget fund",IF(AND(E291="Expense",L291=""),"Add receipt / proof",""))))))))))</x:f>
      </x:c>
    </x:row>
    <x:row r="292" ht="24" customHeight="1">
      <x:c r="A292" s="10"/>
      <x:c r="B292" s="5"/>
      <x:c r="C292" s="10"/>
      <x:c r="D292" s="10"/>
      <x:c r="E292" s="10"/>
      <x:c r="F292" s="10"/>
      <x:c r="G292" s="10"/>
      <x:c r="H292" s="10"/>
      <x:c r="I292" s="11"/>
      <x:c r="J292" s="11"/>
      <x:c r="K292" s="10"/>
      <x:c r="L292" s="10"/>
      <x:c r="M292" s="10"/>
      <x:c r="N292" s="10"/>
      <x:c r="O292" s="1" t="str">
        <x:f>IF(COUNTA(A292:N292)=0,"",IF(OR(A292="",B292="",C292="",NOT(ISNUMBER(D292)),NOT(ISNUMBER(E292))),"Complete required fields",IF(COUNTIFS($A$7:$A$506,A292)&gt;1,"Duplicate ID",IF(COUNTIFS('Accounts'!$A$7:$A$26,C292,'Accounts'!$B$7:$B$26,D292)&lt;&gt;1,"Check account/currency",IF(OR(I292&lt;0,J292&lt;0,AND(I292&gt;0,J292&gt;0),AND(I292=0,J292=0)),"Check amounts",IF(OR(AND(E292="Income",J292&gt;0),AND(E292="Expense",I292&gt;0),AND(E292="Transfer in",J292&gt;0),AND(E292="Transfer out",I292&gt;0)),"Check type/direction",IF(AND(OR(E292="Transfer in",E292="Transfer out"),M292=""),"Add transfer pair ID",IF(AND(OR(E292="Transfer in",E292="Transfer out"),COUNTIFS($M$7:$M$506,M292,$D$7:$D$506,D292)&lt;&gt;2),"Check transfer pair",IF(AND(E292="Expense",K292=""),"Assign budget fund",IF(AND(E292="Expense",L292=""),"Add receipt / proof",""))))))))))</x:f>
      </x:c>
    </x:row>
    <x:row r="293" ht="24" customHeight="1">
      <x:c r="A293" s="10"/>
      <x:c r="B293" s="5"/>
      <x:c r="C293" s="10"/>
      <x:c r="D293" s="10"/>
      <x:c r="E293" s="10"/>
      <x:c r="F293" s="10"/>
      <x:c r="G293" s="10"/>
      <x:c r="H293" s="10"/>
      <x:c r="I293" s="11"/>
      <x:c r="J293" s="11"/>
      <x:c r="K293" s="10"/>
      <x:c r="L293" s="10"/>
      <x:c r="M293" s="10"/>
      <x:c r="N293" s="10"/>
      <x:c r="O293" s="1" t="str">
        <x:f>IF(COUNTA(A293:N293)=0,"",IF(OR(A293="",B293="",C293="",NOT(ISNUMBER(D293)),NOT(ISNUMBER(E293))),"Complete required fields",IF(COUNTIFS($A$7:$A$506,A293)&gt;1,"Duplicate ID",IF(COUNTIFS('Accounts'!$A$7:$A$26,C293,'Accounts'!$B$7:$B$26,D293)&lt;&gt;1,"Check account/currency",IF(OR(I293&lt;0,J293&lt;0,AND(I293&gt;0,J293&gt;0),AND(I293=0,J293=0)),"Check amounts",IF(OR(AND(E293="Income",J293&gt;0),AND(E293="Expense",I293&gt;0),AND(E293="Transfer in",J293&gt;0),AND(E293="Transfer out",I293&gt;0)),"Check type/direction",IF(AND(OR(E293="Transfer in",E293="Transfer out"),M293=""),"Add transfer pair ID",IF(AND(OR(E293="Transfer in",E293="Transfer out"),COUNTIFS($M$7:$M$506,M293,$D$7:$D$506,D293)&lt;&gt;2),"Check transfer pair",IF(AND(E293="Expense",K293=""),"Assign budget fund",IF(AND(E293="Expense",L293=""),"Add receipt / proof",""))))))))))</x:f>
      </x:c>
    </x:row>
    <x:row r="294" ht="24" customHeight="1">
      <x:c r="A294" s="10"/>
      <x:c r="B294" s="5"/>
      <x:c r="C294" s="10"/>
      <x:c r="D294" s="10"/>
      <x:c r="E294" s="10"/>
      <x:c r="F294" s="10"/>
      <x:c r="G294" s="10"/>
      <x:c r="H294" s="10"/>
      <x:c r="I294" s="11"/>
      <x:c r="J294" s="11"/>
      <x:c r="K294" s="10"/>
      <x:c r="L294" s="10"/>
      <x:c r="M294" s="10"/>
      <x:c r="N294" s="10"/>
      <x:c r="O294" s="1" t="str">
        <x:f>IF(COUNTA(A294:N294)=0,"",IF(OR(A294="",B294="",C294="",NOT(ISNUMBER(D294)),NOT(ISNUMBER(E294))),"Complete required fields",IF(COUNTIFS($A$7:$A$506,A294)&gt;1,"Duplicate ID",IF(COUNTIFS('Accounts'!$A$7:$A$26,C294,'Accounts'!$B$7:$B$26,D294)&lt;&gt;1,"Check account/currency",IF(OR(I294&lt;0,J294&lt;0,AND(I294&gt;0,J294&gt;0),AND(I294=0,J294=0)),"Check amounts",IF(OR(AND(E294="Income",J294&gt;0),AND(E294="Expense",I294&gt;0),AND(E294="Transfer in",J294&gt;0),AND(E294="Transfer out",I294&gt;0)),"Check type/direction",IF(AND(OR(E294="Transfer in",E294="Transfer out"),M294=""),"Add transfer pair ID",IF(AND(OR(E294="Transfer in",E294="Transfer out"),COUNTIFS($M$7:$M$506,M294,$D$7:$D$506,D294)&lt;&gt;2),"Check transfer pair",IF(AND(E294="Expense",K294=""),"Assign budget fund",IF(AND(E294="Expense",L294=""),"Add receipt / proof",""))))))))))</x:f>
      </x:c>
    </x:row>
    <x:row r="295" ht="24" customHeight="1">
      <x:c r="A295" s="10"/>
      <x:c r="B295" s="5"/>
      <x:c r="C295" s="10"/>
      <x:c r="D295" s="10"/>
      <x:c r="E295" s="10"/>
      <x:c r="F295" s="10"/>
      <x:c r="G295" s="10"/>
      <x:c r="H295" s="10"/>
      <x:c r="I295" s="11"/>
      <x:c r="J295" s="11"/>
      <x:c r="K295" s="10"/>
      <x:c r="L295" s="10"/>
      <x:c r="M295" s="10"/>
      <x:c r="N295" s="10"/>
      <x:c r="O295" s="1" t="str">
        <x:f>IF(COUNTA(A295:N295)=0,"",IF(OR(A295="",B295="",C295="",NOT(ISNUMBER(D295)),NOT(ISNUMBER(E295))),"Complete required fields",IF(COUNTIFS($A$7:$A$506,A295)&gt;1,"Duplicate ID",IF(COUNTIFS('Accounts'!$A$7:$A$26,C295,'Accounts'!$B$7:$B$26,D295)&lt;&gt;1,"Check account/currency",IF(OR(I295&lt;0,J295&lt;0,AND(I295&gt;0,J295&gt;0),AND(I295=0,J295=0)),"Check amounts",IF(OR(AND(E295="Income",J295&gt;0),AND(E295="Expense",I295&gt;0),AND(E295="Transfer in",J295&gt;0),AND(E295="Transfer out",I295&gt;0)),"Check type/direction",IF(AND(OR(E295="Transfer in",E295="Transfer out"),M295=""),"Add transfer pair ID",IF(AND(OR(E295="Transfer in",E295="Transfer out"),COUNTIFS($M$7:$M$506,M295,$D$7:$D$506,D295)&lt;&gt;2),"Check transfer pair",IF(AND(E295="Expense",K295=""),"Assign budget fund",IF(AND(E295="Expense",L295=""),"Add receipt / proof",""))))))))))</x:f>
      </x:c>
    </x:row>
    <x:row r="296" ht="24" customHeight="1">
      <x:c r="A296" s="10"/>
      <x:c r="B296" s="5"/>
      <x:c r="C296" s="10"/>
      <x:c r="D296" s="10"/>
      <x:c r="E296" s="10"/>
      <x:c r="F296" s="10"/>
      <x:c r="G296" s="10"/>
      <x:c r="H296" s="10"/>
      <x:c r="I296" s="11"/>
      <x:c r="J296" s="11"/>
      <x:c r="K296" s="10"/>
      <x:c r="L296" s="10"/>
      <x:c r="M296" s="10"/>
      <x:c r="N296" s="10"/>
      <x:c r="O296" s="1" t="str">
        <x:f>IF(COUNTA(A296:N296)=0,"",IF(OR(A296="",B296="",C296="",NOT(ISNUMBER(D296)),NOT(ISNUMBER(E296))),"Complete required fields",IF(COUNTIFS($A$7:$A$506,A296)&gt;1,"Duplicate ID",IF(COUNTIFS('Accounts'!$A$7:$A$26,C296,'Accounts'!$B$7:$B$26,D296)&lt;&gt;1,"Check account/currency",IF(OR(I296&lt;0,J296&lt;0,AND(I296&gt;0,J296&gt;0),AND(I296=0,J296=0)),"Check amounts",IF(OR(AND(E296="Income",J296&gt;0),AND(E296="Expense",I296&gt;0),AND(E296="Transfer in",J296&gt;0),AND(E296="Transfer out",I296&gt;0)),"Check type/direction",IF(AND(OR(E296="Transfer in",E296="Transfer out"),M296=""),"Add transfer pair ID",IF(AND(OR(E296="Transfer in",E296="Transfer out"),COUNTIFS($M$7:$M$506,M296,$D$7:$D$506,D296)&lt;&gt;2),"Check transfer pair",IF(AND(E296="Expense",K296=""),"Assign budget fund",IF(AND(E296="Expense",L296=""),"Add receipt / proof",""))))))))))</x:f>
      </x:c>
    </x:row>
    <x:row r="297" ht="24" customHeight="1">
      <x:c r="A297" s="10"/>
      <x:c r="B297" s="5"/>
      <x:c r="C297" s="10"/>
      <x:c r="D297" s="10"/>
      <x:c r="E297" s="10"/>
      <x:c r="F297" s="10"/>
      <x:c r="G297" s="10"/>
      <x:c r="H297" s="10"/>
      <x:c r="I297" s="11"/>
      <x:c r="J297" s="11"/>
      <x:c r="K297" s="10"/>
      <x:c r="L297" s="10"/>
      <x:c r="M297" s="10"/>
      <x:c r="N297" s="10"/>
      <x:c r="O297" s="1" t="str">
        <x:f>IF(COUNTA(A297:N297)=0,"",IF(OR(A297="",B297="",C297="",NOT(ISNUMBER(D297)),NOT(ISNUMBER(E297))),"Complete required fields",IF(COUNTIFS($A$7:$A$506,A297)&gt;1,"Duplicate ID",IF(COUNTIFS('Accounts'!$A$7:$A$26,C297,'Accounts'!$B$7:$B$26,D297)&lt;&gt;1,"Check account/currency",IF(OR(I297&lt;0,J297&lt;0,AND(I297&gt;0,J297&gt;0),AND(I297=0,J297=0)),"Check amounts",IF(OR(AND(E297="Income",J297&gt;0),AND(E297="Expense",I297&gt;0),AND(E297="Transfer in",J297&gt;0),AND(E297="Transfer out",I297&gt;0)),"Check type/direction",IF(AND(OR(E297="Transfer in",E297="Transfer out"),M297=""),"Add transfer pair ID",IF(AND(OR(E297="Transfer in",E297="Transfer out"),COUNTIFS($M$7:$M$506,M297,$D$7:$D$506,D297)&lt;&gt;2),"Check transfer pair",IF(AND(E297="Expense",K297=""),"Assign budget fund",IF(AND(E297="Expense",L297=""),"Add receipt / proof",""))))))))))</x:f>
      </x:c>
    </x:row>
    <x:row r="298" ht="24" customHeight="1">
      <x:c r="A298" s="10"/>
      <x:c r="B298" s="5"/>
      <x:c r="C298" s="10"/>
      <x:c r="D298" s="10"/>
      <x:c r="E298" s="10"/>
      <x:c r="F298" s="10"/>
      <x:c r="G298" s="10"/>
      <x:c r="H298" s="10"/>
      <x:c r="I298" s="11"/>
      <x:c r="J298" s="11"/>
      <x:c r="K298" s="10"/>
      <x:c r="L298" s="10"/>
      <x:c r="M298" s="10"/>
      <x:c r="N298" s="10"/>
      <x:c r="O298" s="1" t="str">
        <x:f>IF(COUNTA(A298:N298)=0,"",IF(OR(A298="",B298="",C298="",NOT(ISNUMBER(D298)),NOT(ISNUMBER(E298))),"Complete required fields",IF(COUNTIFS($A$7:$A$506,A298)&gt;1,"Duplicate ID",IF(COUNTIFS('Accounts'!$A$7:$A$26,C298,'Accounts'!$B$7:$B$26,D298)&lt;&gt;1,"Check account/currency",IF(OR(I298&lt;0,J298&lt;0,AND(I298&gt;0,J298&gt;0),AND(I298=0,J298=0)),"Check amounts",IF(OR(AND(E298="Income",J298&gt;0),AND(E298="Expense",I298&gt;0),AND(E298="Transfer in",J298&gt;0),AND(E298="Transfer out",I298&gt;0)),"Check type/direction",IF(AND(OR(E298="Transfer in",E298="Transfer out"),M298=""),"Add transfer pair ID",IF(AND(OR(E298="Transfer in",E298="Transfer out"),COUNTIFS($M$7:$M$506,M298,$D$7:$D$506,D298)&lt;&gt;2),"Check transfer pair",IF(AND(E298="Expense",K298=""),"Assign budget fund",IF(AND(E298="Expense",L298=""),"Add receipt / proof",""))))))))))</x:f>
      </x:c>
    </x:row>
    <x:row r="299" ht="24" customHeight="1">
      <x:c r="A299" s="10"/>
      <x:c r="B299" s="5"/>
      <x:c r="C299" s="10"/>
      <x:c r="D299" s="10"/>
      <x:c r="E299" s="10"/>
      <x:c r="F299" s="10"/>
      <x:c r="G299" s="10"/>
      <x:c r="H299" s="10"/>
      <x:c r="I299" s="11"/>
      <x:c r="J299" s="11"/>
      <x:c r="K299" s="10"/>
      <x:c r="L299" s="10"/>
      <x:c r="M299" s="10"/>
      <x:c r="N299" s="10"/>
      <x:c r="O299" s="1" t="str">
        <x:f>IF(COUNTA(A299:N299)=0,"",IF(OR(A299="",B299="",C299="",NOT(ISNUMBER(D299)),NOT(ISNUMBER(E299))),"Complete required fields",IF(COUNTIFS($A$7:$A$506,A299)&gt;1,"Duplicate ID",IF(COUNTIFS('Accounts'!$A$7:$A$26,C299,'Accounts'!$B$7:$B$26,D299)&lt;&gt;1,"Check account/currency",IF(OR(I299&lt;0,J299&lt;0,AND(I299&gt;0,J299&gt;0),AND(I299=0,J299=0)),"Check amounts",IF(OR(AND(E299="Income",J299&gt;0),AND(E299="Expense",I299&gt;0),AND(E299="Transfer in",J299&gt;0),AND(E299="Transfer out",I299&gt;0)),"Check type/direction",IF(AND(OR(E299="Transfer in",E299="Transfer out"),M299=""),"Add transfer pair ID",IF(AND(OR(E299="Transfer in",E299="Transfer out"),COUNTIFS($M$7:$M$506,M299,$D$7:$D$506,D299)&lt;&gt;2),"Check transfer pair",IF(AND(E299="Expense",K299=""),"Assign budget fund",IF(AND(E299="Expense",L299=""),"Add receipt / proof",""))))))))))</x:f>
      </x:c>
    </x:row>
    <x:row r="300" ht="24" customHeight="1">
      <x:c r="A300" s="10"/>
      <x:c r="B300" s="5"/>
      <x:c r="C300" s="10"/>
      <x:c r="D300" s="10"/>
      <x:c r="E300" s="10"/>
      <x:c r="F300" s="10"/>
      <x:c r="G300" s="10"/>
      <x:c r="H300" s="10"/>
      <x:c r="I300" s="11"/>
      <x:c r="J300" s="11"/>
      <x:c r="K300" s="10"/>
      <x:c r="L300" s="10"/>
      <x:c r="M300" s="10"/>
      <x:c r="N300" s="10"/>
      <x:c r="O300" s="1" t="str">
        <x:f>IF(COUNTA(A300:N300)=0,"",IF(OR(A300="",B300="",C300="",NOT(ISNUMBER(D300)),NOT(ISNUMBER(E300))),"Complete required fields",IF(COUNTIFS($A$7:$A$506,A300)&gt;1,"Duplicate ID",IF(COUNTIFS('Accounts'!$A$7:$A$26,C300,'Accounts'!$B$7:$B$26,D300)&lt;&gt;1,"Check account/currency",IF(OR(I300&lt;0,J300&lt;0,AND(I300&gt;0,J300&gt;0),AND(I300=0,J300=0)),"Check amounts",IF(OR(AND(E300="Income",J300&gt;0),AND(E300="Expense",I300&gt;0),AND(E300="Transfer in",J300&gt;0),AND(E300="Transfer out",I300&gt;0)),"Check type/direction",IF(AND(OR(E300="Transfer in",E300="Transfer out"),M300=""),"Add transfer pair ID",IF(AND(OR(E300="Transfer in",E300="Transfer out"),COUNTIFS($M$7:$M$506,M300,$D$7:$D$506,D300)&lt;&gt;2),"Check transfer pair",IF(AND(E300="Expense",K300=""),"Assign budget fund",IF(AND(E300="Expense",L300=""),"Add receipt / proof",""))))))))))</x:f>
      </x:c>
    </x:row>
    <x:row r="301" ht="24" customHeight="1">
      <x:c r="A301" s="10"/>
      <x:c r="B301" s="5"/>
      <x:c r="C301" s="10"/>
      <x:c r="D301" s="10"/>
      <x:c r="E301" s="10"/>
      <x:c r="F301" s="10"/>
      <x:c r="G301" s="10"/>
      <x:c r="H301" s="10"/>
      <x:c r="I301" s="11"/>
      <x:c r="J301" s="11"/>
      <x:c r="K301" s="10"/>
      <x:c r="L301" s="10"/>
      <x:c r="M301" s="10"/>
      <x:c r="N301" s="10"/>
      <x:c r="O301" s="1" t="str">
        <x:f>IF(COUNTA(A301:N301)=0,"",IF(OR(A301="",B301="",C301="",NOT(ISNUMBER(D301)),NOT(ISNUMBER(E301))),"Complete required fields",IF(COUNTIFS($A$7:$A$506,A301)&gt;1,"Duplicate ID",IF(COUNTIFS('Accounts'!$A$7:$A$26,C301,'Accounts'!$B$7:$B$26,D301)&lt;&gt;1,"Check account/currency",IF(OR(I301&lt;0,J301&lt;0,AND(I301&gt;0,J301&gt;0),AND(I301=0,J301=0)),"Check amounts",IF(OR(AND(E301="Income",J301&gt;0),AND(E301="Expense",I301&gt;0),AND(E301="Transfer in",J301&gt;0),AND(E301="Transfer out",I301&gt;0)),"Check type/direction",IF(AND(OR(E301="Transfer in",E301="Transfer out"),M301=""),"Add transfer pair ID",IF(AND(OR(E301="Transfer in",E301="Transfer out"),COUNTIFS($M$7:$M$506,M301,$D$7:$D$506,D301)&lt;&gt;2),"Check transfer pair",IF(AND(E301="Expense",K301=""),"Assign budget fund",IF(AND(E301="Expense",L301=""),"Add receipt / proof",""))))))))))</x:f>
      </x:c>
    </x:row>
    <x:row r="302" ht="24" customHeight="1">
      <x:c r="A302" s="10"/>
      <x:c r="B302" s="5"/>
      <x:c r="C302" s="10"/>
      <x:c r="D302" s="10"/>
      <x:c r="E302" s="10"/>
      <x:c r="F302" s="10"/>
      <x:c r="G302" s="10"/>
      <x:c r="H302" s="10"/>
      <x:c r="I302" s="11"/>
      <x:c r="J302" s="11"/>
      <x:c r="K302" s="10"/>
      <x:c r="L302" s="10"/>
      <x:c r="M302" s="10"/>
      <x:c r="N302" s="10"/>
      <x:c r="O302" s="1" t="str">
        <x:f>IF(COUNTA(A302:N302)=0,"",IF(OR(A302="",B302="",C302="",NOT(ISNUMBER(D302)),NOT(ISNUMBER(E302))),"Complete required fields",IF(COUNTIFS($A$7:$A$506,A302)&gt;1,"Duplicate ID",IF(COUNTIFS('Accounts'!$A$7:$A$26,C302,'Accounts'!$B$7:$B$26,D302)&lt;&gt;1,"Check account/currency",IF(OR(I302&lt;0,J302&lt;0,AND(I302&gt;0,J302&gt;0),AND(I302=0,J302=0)),"Check amounts",IF(OR(AND(E302="Income",J302&gt;0),AND(E302="Expense",I302&gt;0),AND(E302="Transfer in",J302&gt;0),AND(E302="Transfer out",I302&gt;0)),"Check type/direction",IF(AND(OR(E302="Transfer in",E302="Transfer out"),M302=""),"Add transfer pair ID",IF(AND(OR(E302="Transfer in",E302="Transfer out"),COUNTIFS($M$7:$M$506,M302,$D$7:$D$506,D302)&lt;&gt;2),"Check transfer pair",IF(AND(E302="Expense",K302=""),"Assign budget fund",IF(AND(E302="Expense",L302=""),"Add receipt / proof",""))))))))))</x:f>
      </x:c>
    </x:row>
    <x:row r="303" ht="24" customHeight="1">
      <x:c r="A303" s="10"/>
      <x:c r="B303" s="5"/>
      <x:c r="C303" s="10"/>
      <x:c r="D303" s="10"/>
      <x:c r="E303" s="10"/>
      <x:c r="F303" s="10"/>
      <x:c r="G303" s="10"/>
      <x:c r="H303" s="10"/>
      <x:c r="I303" s="11"/>
      <x:c r="J303" s="11"/>
      <x:c r="K303" s="10"/>
      <x:c r="L303" s="10"/>
      <x:c r="M303" s="10"/>
      <x:c r="N303" s="10"/>
      <x:c r="O303" s="1" t="str">
        <x:f>IF(COUNTA(A303:N303)=0,"",IF(OR(A303="",B303="",C303="",NOT(ISNUMBER(D303)),NOT(ISNUMBER(E303))),"Complete required fields",IF(COUNTIFS($A$7:$A$506,A303)&gt;1,"Duplicate ID",IF(COUNTIFS('Accounts'!$A$7:$A$26,C303,'Accounts'!$B$7:$B$26,D303)&lt;&gt;1,"Check account/currency",IF(OR(I303&lt;0,J303&lt;0,AND(I303&gt;0,J303&gt;0),AND(I303=0,J303=0)),"Check amounts",IF(OR(AND(E303="Income",J303&gt;0),AND(E303="Expense",I303&gt;0),AND(E303="Transfer in",J303&gt;0),AND(E303="Transfer out",I303&gt;0)),"Check type/direction",IF(AND(OR(E303="Transfer in",E303="Transfer out"),M303=""),"Add transfer pair ID",IF(AND(OR(E303="Transfer in",E303="Transfer out"),COUNTIFS($M$7:$M$506,M303,$D$7:$D$506,D303)&lt;&gt;2),"Check transfer pair",IF(AND(E303="Expense",K303=""),"Assign budget fund",IF(AND(E303="Expense",L303=""),"Add receipt / proof",""))))))))))</x:f>
      </x:c>
    </x:row>
    <x:row r="304" ht="24" customHeight="1">
      <x:c r="A304" s="10"/>
      <x:c r="B304" s="5"/>
      <x:c r="C304" s="10"/>
      <x:c r="D304" s="10"/>
      <x:c r="E304" s="10"/>
      <x:c r="F304" s="10"/>
      <x:c r="G304" s="10"/>
      <x:c r="H304" s="10"/>
      <x:c r="I304" s="11"/>
      <x:c r="J304" s="11"/>
      <x:c r="K304" s="10"/>
      <x:c r="L304" s="10"/>
      <x:c r="M304" s="10"/>
      <x:c r="N304" s="10"/>
      <x:c r="O304" s="1" t="str">
        <x:f>IF(COUNTA(A304:N304)=0,"",IF(OR(A304="",B304="",C304="",NOT(ISNUMBER(D304)),NOT(ISNUMBER(E304))),"Complete required fields",IF(COUNTIFS($A$7:$A$506,A304)&gt;1,"Duplicate ID",IF(COUNTIFS('Accounts'!$A$7:$A$26,C304,'Accounts'!$B$7:$B$26,D304)&lt;&gt;1,"Check account/currency",IF(OR(I304&lt;0,J304&lt;0,AND(I304&gt;0,J304&gt;0),AND(I304=0,J304=0)),"Check amounts",IF(OR(AND(E304="Income",J304&gt;0),AND(E304="Expense",I304&gt;0),AND(E304="Transfer in",J304&gt;0),AND(E304="Transfer out",I304&gt;0)),"Check type/direction",IF(AND(OR(E304="Transfer in",E304="Transfer out"),M304=""),"Add transfer pair ID",IF(AND(OR(E304="Transfer in",E304="Transfer out"),COUNTIFS($M$7:$M$506,M304,$D$7:$D$506,D304)&lt;&gt;2),"Check transfer pair",IF(AND(E304="Expense",K304=""),"Assign budget fund",IF(AND(E304="Expense",L304=""),"Add receipt / proof",""))))))))))</x:f>
      </x:c>
    </x:row>
    <x:row r="305" ht="24" customHeight="1">
      <x:c r="A305" s="10"/>
      <x:c r="B305" s="5"/>
      <x:c r="C305" s="10"/>
      <x:c r="D305" s="10"/>
      <x:c r="E305" s="10"/>
      <x:c r="F305" s="10"/>
      <x:c r="G305" s="10"/>
      <x:c r="H305" s="10"/>
      <x:c r="I305" s="11"/>
      <x:c r="J305" s="11"/>
      <x:c r="K305" s="10"/>
      <x:c r="L305" s="10"/>
      <x:c r="M305" s="10"/>
      <x:c r="N305" s="10"/>
      <x:c r="O305" s="1" t="str">
        <x:f>IF(COUNTA(A305:N305)=0,"",IF(OR(A305="",B305="",C305="",NOT(ISNUMBER(D305)),NOT(ISNUMBER(E305))),"Complete required fields",IF(COUNTIFS($A$7:$A$506,A305)&gt;1,"Duplicate ID",IF(COUNTIFS('Accounts'!$A$7:$A$26,C305,'Accounts'!$B$7:$B$26,D305)&lt;&gt;1,"Check account/currency",IF(OR(I305&lt;0,J305&lt;0,AND(I305&gt;0,J305&gt;0),AND(I305=0,J305=0)),"Check amounts",IF(OR(AND(E305="Income",J305&gt;0),AND(E305="Expense",I305&gt;0),AND(E305="Transfer in",J305&gt;0),AND(E305="Transfer out",I305&gt;0)),"Check type/direction",IF(AND(OR(E305="Transfer in",E305="Transfer out"),M305=""),"Add transfer pair ID",IF(AND(OR(E305="Transfer in",E305="Transfer out"),COUNTIFS($M$7:$M$506,M305,$D$7:$D$506,D305)&lt;&gt;2),"Check transfer pair",IF(AND(E305="Expense",K305=""),"Assign budget fund",IF(AND(E305="Expense",L305=""),"Add receipt / proof",""))))))))))</x:f>
      </x:c>
    </x:row>
    <x:row r="306" ht="24" customHeight="1">
      <x:c r="A306" s="10"/>
      <x:c r="B306" s="5"/>
      <x:c r="C306" s="10"/>
      <x:c r="D306" s="10"/>
      <x:c r="E306" s="10"/>
      <x:c r="F306" s="10"/>
      <x:c r="G306" s="10"/>
      <x:c r="H306" s="10"/>
      <x:c r="I306" s="11"/>
      <x:c r="J306" s="11"/>
      <x:c r="K306" s="10"/>
      <x:c r="L306" s="10"/>
      <x:c r="M306" s="10"/>
      <x:c r="N306" s="10"/>
      <x:c r="O306" s="1" t="str">
        <x:f>IF(COUNTA(A306:N306)=0,"",IF(OR(A306="",B306="",C306="",NOT(ISNUMBER(D306)),NOT(ISNUMBER(E306))),"Complete required fields",IF(COUNTIFS($A$7:$A$506,A306)&gt;1,"Duplicate ID",IF(COUNTIFS('Accounts'!$A$7:$A$26,C306,'Accounts'!$B$7:$B$26,D306)&lt;&gt;1,"Check account/currency",IF(OR(I306&lt;0,J306&lt;0,AND(I306&gt;0,J306&gt;0),AND(I306=0,J306=0)),"Check amounts",IF(OR(AND(E306="Income",J306&gt;0),AND(E306="Expense",I306&gt;0),AND(E306="Transfer in",J306&gt;0),AND(E306="Transfer out",I306&gt;0)),"Check type/direction",IF(AND(OR(E306="Transfer in",E306="Transfer out"),M306=""),"Add transfer pair ID",IF(AND(OR(E306="Transfer in",E306="Transfer out"),COUNTIFS($M$7:$M$506,M306,$D$7:$D$506,D306)&lt;&gt;2),"Check transfer pair",IF(AND(E306="Expense",K306=""),"Assign budget fund",IF(AND(E306="Expense",L306=""),"Add receipt / proof",""))))))))))</x:f>
      </x:c>
    </x:row>
    <x:row r="307" ht="24" customHeight="1">
      <x:c r="A307" s="10"/>
      <x:c r="B307" s="5"/>
      <x:c r="C307" s="10"/>
      <x:c r="D307" s="10"/>
      <x:c r="E307" s="10"/>
      <x:c r="F307" s="10"/>
      <x:c r="G307" s="10"/>
      <x:c r="H307" s="10"/>
      <x:c r="I307" s="11"/>
      <x:c r="J307" s="11"/>
      <x:c r="K307" s="10"/>
      <x:c r="L307" s="10"/>
      <x:c r="M307" s="10"/>
      <x:c r="N307" s="10"/>
      <x:c r="O307" s="1" t="str">
        <x:f>IF(COUNTA(A307:N307)=0,"",IF(OR(A307="",B307="",C307="",NOT(ISNUMBER(D307)),NOT(ISNUMBER(E307))),"Complete required fields",IF(COUNTIFS($A$7:$A$506,A307)&gt;1,"Duplicate ID",IF(COUNTIFS('Accounts'!$A$7:$A$26,C307,'Accounts'!$B$7:$B$26,D307)&lt;&gt;1,"Check account/currency",IF(OR(I307&lt;0,J307&lt;0,AND(I307&gt;0,J307&gt;0),AND(I307=0,J307=0)),"Check amounts",IF(OR(AND(E307="Income",J307&gt;0),AND(E307="Expense",I307&gt;0),AND(E307="Transfer in",J307&gt;0),AND(E307="Transfer out",I307&gt;0)),"Check type/direction",IF(AND(OR(E307="Transfer in",E307="Transfer out"),M307=""),"Add transfer pair ID",IF(AND(OR(E307="Transfer in",E307="Transfer out"),COUNTIFS($M$7:$M$506,M307,$D$7:$D$506,D307)&lt;&gt;2),"Check transfer pair",IF(AND(E307="Expense",K307=""),"Assign budget fund",IF(AND(E307="Expense",L307=""),"Add receipt / proof",""))))))))))</x:f>
      </x:c>
    </x:row>
    <x:row r="308" ht="24" customHeight="1">
      <x:c r="A308" s="10"/>
      <x:c r="B308" s="5"/>
      <x:c r="C308" s="10"/>
      <x:c r="D308" s="10"/>
      <x:c r="E308" s="10"/>
      <x:c r="F308" s="10"/>
      <x:c r="G308" s="10"/>
      <x:c r="H308" s="10"/>
      <x:c r="I308" s="11"/>
      <x:c r="J308" s="11"/>
      <x:c r="K308" s="10"/>
      <x:c r="L308" s="10"/>
      <x:c r="M308" s="10"/>
      <x:c r="N308" s="10"/>
      <x:c r="O308" s="1" t="str">
        <x:f>IF(COUNTA(A308:N308)=0,"",IF(OR(A308="",B308="",C308="",NOT(ISNUMBER(D308)),NOT(ISNUMBER(E308))),"Complete required fields",IF(COUNTIFS($A$7:$A$506,A308)&gt;1,"Duplicate ID",IF(COUNTIFS('Accounts'!$A$7:$A$26,C308,'Accounts'!$B$7:$B$26,D308)&lt;&gt;1,"Check account/currency",IF(OR(I308&lt;0,J308&lt;0,AND(I308&gt;0,J308&gt;0),AND(I308=0,J308=0)),"Check amounts",IF(OR(AND(E308="Income",J308&gt;0),AND(E308="Expense",I308&gt;0),AND(E308="Transfer in",J308&gt;0),AND(E308="Transfer out",I308&gt;0)),"Check type/direction",IF(AND(OR(E308="Transfer in",E308="Transfer out"),M308=""),"Add transfer pair ID",IF(AND(OR(E308="Transfer in",E308="Transfer out"),COUNTIFS($M$7:$M$506,M308,$D$7:$D$506,D308)&lt;&gt;2),"Check transfer pair",IF(AND(E308="Expense",K308=""),"Assign budget fund",IF(AND(E308="Expense",L308=""),"Add receipt / proof",""))))))))))</x:f>
      </x:c>
    </x:row>
    <x:row r="309" ht="24" customHeight="1">
      <x:c r="A309" s="10"/>
      <x:c r="B309" s="5"/>
      <x:c r="C309" s="10"/>
      <x:c r="D309" s="10"/>
      <x:c r="E309" s="10"/>
      <x:c r="F309" s="10"/>
      <x:c r="G309" s="10"/>
      <x:c r="H309" s="10"/>
      <x:c r="I309" s="11"/>
      <x:c r="J309" s="11"/>
      <x:c r="K309" s="10"/>
      <x:c r="L309" s="10"/>
      <x:c r="M309" s="10"/>
      <x:c r="N309" s="10"/>
      <x:c r="O309" s="1" t="str">
        <x:f>IF(COUNTA(A309:N309)=0,"",IF(OR(A309="",B309="",C309="",NOT(ISNUMBER(D309)),NOT(ISNUMBER(E309))),"Complete required fields",IF(COUNTIFS($A$7:$A$506,A309)&gt;1,"Duplicate ID",IF(COUNTIFS('Accounts'!$A$7:$A$26,C309,'Accounts'!$B$7:$B$26,D309)&lt;&gt;1,"Check account/currency",IF(OR(I309&lt;0,J309&lt;0,AND(I309&gt;0,J309&gt;0),AND(I309=0,J309=0)),"Check amounts",IF(OR(AND(E309="Income",J309&gt;0),AND(E309="Expense",I309&gt;0),AND(E309="Transfer in",J309&gt;0),AND(E309="Transfer out",I309&gt;0)),"Check type/direction",IF(AND(OR(E309="Transfer in",E309="Transfer out"),M309=""),"Add transfer pair ID",IF(AND(OR(E309="Transfer in",E309="Transfer out"),COUNTIFS($M$7:$M$506,M309,$D$7:$D$506,D309)&lt;&gt;2),"Check transfer pair",IF(AND(E309="Expense",K309=""),"Assign budget fund",IF(AND(E309="Expense",L309=""),"Add receipt / proof",""))))))))))</x:f>
      </x:c>
    </x:row>
    <x:row r="310" ht="24" customHeight="1">
      <x:c r="A310" s="10"/>
      <x:c r="B310" s="5"/>
      <x:c r="C310" s="10"/>
      <x:c r="D310" s="10"/>
      <x:c r="E310" s="10"/>
      <x:c r="F310" s="10"/>
      <x:c r="G310" s="10"/>
      <x:c r="H310" s="10"/>
      <x:c r="I310" s="11"/>
      <x:c r="J310" s="11"/>
      <x:c r="K310" s="10"/>
      <x:c r="L310" s="10"/>
      <x:c r="M310" s="10"/>
      <x:c r="N310" s="10"/>
      <x:c r="O310" s="1" t="str">
        <x:f>IF(COUNTA(A310:N310)=0,"",IF(OR(A310="",B310="",C310="",NOT(ISNUMBER(D310)),NOT(ISNUMBER(E310))),"Complete required fields",IF(COUNTIFS($A$7:$A$506,A310)&gt;1,"Duplicate ID",IF(COUNTIFS('Accounts'!$A$7:$A$26,C310,'Accounts'!$B$7:$B$26,D310)&lt;&gt;1,"Check account/currency",IF(OR(I310&lt;0,J310&lt;0,AND(I310&gt;0,J310&gt;0),AND(I310=0,J310=0)),"Check amounts",IF(OR(AND(E310="Income",J310&gt;0),AND(E310="Expense",I310&gt;0),AND(E310="Transfer in",J310&gt;0),AND(E310="Transfer out",I310&gt;0)),"Check type/direction",IF(AND(OR(E310="Transfer in",E310="Transfer out"),M310=""),"Add transfer pair ID",IF(AND(OR(E310="Transfer in",E310="Transfer out"),COUNTIFS($M$7:$M$506,M310,$D$7:$D$506,D310)&lt;&gt;2),"Check transfer pair",IF(AND(E310="Expense",K310=""),"Assign budget fund",IF(AND(E310="Expense",L310=""),"Add receipt / proof",""))))))))))</x:f>
      </x:c>
    </x:row>
    <x:row r="311" ht="24" customHeight="1">
      <x:c r="A311" s="10"/>
      <x:c r="B311" s="5"/>
      <x:c r="C311" s="10"/>
      <x:c r="D311" s="10"/>
      <x:c r="E311" s="10"/>
      <x:c r="F311" s="10"/>
      <x:c r="G311" s="10"/>
      <x:c r="H311" s="10"/>
      <x:c r="I311" s="11"/>
      <x:c r="J311" s="11"/>
      <x:c r="K311" s="10"/>
      <x:c r="L311" s="10"/>
      <x:c r="M311" s="10"/>
      <x:c r="N311" s="10"/>
      <x:c r="O311" s="1" t="str">
        <x:f>IF(COUNTA(A311:N311)=0,"",IF(OR(A311="",B311="",C311="",NOT(ISNUMBER(D311)),NOT(ISNUMBER(E311))),"Complete required fields",IF(COUNTIFS($A$7:$A$506,A311)&gt;1,"Duplicate ID",IF(COUNTIFS('Accounts'!$A$7:$A$26,C311,'Accounts'!$B$7:$B$26,D311)&lt;&gt;1,"Check account/currency",IF(OR(I311&lt;0,J311&lt;0,AND(I311&gt;0,J311&gt;0),AND(I311=0,J311=0)),"Check amounts",IF(OR(AND(E311="Income",J311&gt;0),AND(E311="Expense",I311&gt;0),AND(E311="Transfer in",J311&gt;0),AND(E311="Transfer out",I311&gt;0)),"Check type/direction",IF(AND(OR(E311="Transfer in",E311="Transfer out"),M311=""),"Add transfer pair ID",IF(AND(OR(E311="Transfer in",E311="Transfer out"),COUNTIFS($M$7:$M$506,M311,$D$7:$D$506,D311)&lt;&gt;2),"Check transfer pair",IF(AND(E311="Expense",K311=""),"Assign budget fund",IF(AND(E311="Expense",L311=""),"Add receipt / proof",""))))))))))</x:f>
      </x:c>
    </x:row>
    <x:row r="312" ht="24" customHeight="1">
      <x:c r="A312" s="10"/>
      <x:c r="B312" s="5"/>
      <x:c r="C312" s="10"/>
      <x:c r="D312" s="10"/>
      <x:c r="E312" s="10"/>
      <x:c r="F312" s="10"/>
      <x:c r="G312" s="10"/>
      <x:c r="H312" s="10"/>
      <x:c r="I312" s="11"/>
      <x:c r="J312" s="11"/>
      <x:c r="K312" s="10"/>
      <x:c r="L312" s="10"/>
      <x:c r="M312" s="10"/>
      <x:c r="N312" s="10"/>
      <x:c r="O312" s="1" t="str">
        <x:f>IF(COUNTA(A312:N312)=0,"",IF(OR(A312="",B312="",C312="",NOT(ISNUMBER(D312)),NOT(ISNUMBER(E312))),"Complete required fields",IF(COUNTIFS($A$7:$A$506,A312)&gt;1,"Duplicate ID",IF(COUNTIFS('Accounts'!$A$7:$A$26,C312,'Accounts'!$B$7:$B$26,D312)&lt;&gt;1,"Check account/currency",IF(OR(I312&lt;0,J312&lt;0,AND(I312&gt;0,J312&gt;0),AND(I312=0,J312=0)),"Check amounts",IF(OR(AND(E312="Income",J312&gt;0),AND(E312="Expense",I312&gt;0),AND(E312="Transfer in",J312&gt;0),AND(E312="Transfer out",I312&gt;0)),"Check type/direction",IF(AND(OR(E312="Transfer in",E312="Transfer out"),M312=""),"Add transfer pair ID",IF(AND(OR(E312="Transfer in",E312="Transfer out"),COUNTIFS($M$7:$M$506,M312,$D$7:$D$506,D312)&lt;&gt;2),"Check transfer pair",IF(AND(E312="Expense",K312=""),"Assign budget fund",IF(AND(E312="Expense",L312=""),"Add receipt / proof",""))))))))))</x:f>
      </x:c>
    </x:row>
    <x:row r="313" ht="24" customHeight="1">
      <x:c r="A313" s="10"/>
      <x:c r="B313" s="5"/>
      <x:c r="C313" s="10"/>
      <x:c r="D313" s="10"/>
      <x:c r="E313" s="10"/>
      <x:c r="F313" s="10"/>
      <x:c r="G313" s="10"/>
      <x:c r="H313" s="10"/>
      <x:c r="I313" s="11"/>
      <x:c r="J313" s="11"/>
      <x:c r="K313" s="10"/>
      <x:c r="L313" s="10"/>
      <x:c r="M313" s="10"/>
      <x:c r="N313" s="10"/>
      <x:c r="O313" s="1" t="str">
        <x:f>IF(COUNTA(A313:N313)=0,"",IF(OR(A313="",B313="",C313="",NOT(ISNUMBER(D313)),NOT(ISNUMBER(E313))),"Complete required fields",IF(COUNTIFS($A$7:$A$506,A313)&gt;1,"Duplicate ID",IF(COUNTIFS('Accounts'!$A$7:$A$26,C313,'Accounts'!$B$7:$B$26,D313)&lt;&gt;1,"Check account/currency",IF(OR(I313&lt;0,J313&lt;0,AND(I313&gt;0,J313&gt;0),AND(I313=0,J313=0)),"Check amounts",IF(OR(AND(E313="Income",J313&gt;0),AND(E313="Expense",I313&gt;0),AND(E313="Transfer in",J313&gt;0),AND(E313="Transfer out",I313&gt;0)),"Check type/direction",IF(AND(OR(E313="Transfer in",E313="Transfer out"),M313=""),"Add transfer pair ID",IF(AND(OR(E313="Transfer in",E313="Transfer out"),COUNTIFS($M$7:$M$506,M313,$D$7:$D$506,D313)&lt;&gt;2),"Check transfer pair",IF(AND(E313="Expense",K313=""),"Assign budget fund",IF(AND(E313="Expense",L313=""),"Add receipt / proof",""))))))))))</x:f>
      </x:c>
    </x:row>
    <x:row r="314" ht="24" customHeight="1">
      <x:c r="A314" s="10"/>
      <x:c r="B314" s="5"/>
      <x:c r="C314" s="10"/>
      <x:c r="D314" s="10"/>
      <x:c r="E314" s="10"/>
      <x:c r="F314" s="10"/>
      <x:c r="G314" s="10"/>
      <x:c r="H314" s="10"/>
      <x:c r="I314" s="11"/>
      <x:c r="J314" s="11"/>
      <x:c r="K314" s="10"/>
      <x:c r="L314" s="10"/>
      <x:c r="M314" s="10"/>
      <x:c r="N314" s="10"/>
      <x:c r="O314" s="1" t="str">
        <x:f>IF(COUNTA(A314:N314)=0,"",IF(OR(A314="",B314="",C314="",NOT(ISNUMBER(D314)),NOT(ISNUMBER(E314))),"Complete required fields",IF(COUNTIFS($A$7:$A$506,A314)&gt;1,"Duplicate ID",IF(COUNTIFS('Accounts'!$A$7:$A$26,C314,'Accounts'!$B$7:$B$26,D314)&lt;&gt;1,"Check account/currency",IF(OR(I314&lt;0,J314&lt;0,AND(I314&gt;0,J314&gt;0),AND(I314=0,J314=0)),"Check amounts",IF(OR(AND(E314="Income",J314&gt;0),AND(E314="Expense",I314&gt;0),AND(E314="Transfer in",J314&gt;0),AND(E314="Transfer out",I314&gt;0)),"Check type/direction",IF(AND(OR(E314="Transfer in",E314="Transfer out"),M314=""),"Add transfer pair ID",IF(AND(OR(E314="Transfer in",E314="Transfer out"),COUNTIFS($M$7:$M$506,M314,$D$7:$D$506,D314)&lt;&gt;2),"Check transfer pair",IF(AND(E314="Expense",K314=""),"Assign budget fund",IF(AND(E314="Expense",L314=""),"Add receipt / proof",""))))))))))</x:f>
      </x:c>
    </x:row>
    <x:row r="315" ht="24" customHeight="1">
      <x:c r="A315" s="10"/>
      <x:c r="B315" s="5"/>
      <x:c r="C315" s="10"/>
      <x:c r="D315" s="10"/>
      <x:c r="E315" s="10"/>
      <x:c r="F315" s="10"/>
      <x:c r="G315" s="10"/>
      <x:c r="H315" s="10"/>
      <x:c r="I315" s="11"/>
      <x:c r="J315" s="11"/>
      <x:c r="K315" s="10"/>
      <x:c r="L315" s="10"/>
      <x:c r="M315" s="10"/>
      <x:c r="N315" s="10"/>
      <x:c r="O315" s="1" t="str">
        <x:f>IF(COUNTA(A315:N315)=0,"",IF(OR(A315="",B315="",C315="",NOT(ISNUMBER(D315)),NOT(ISNUMBER(E315))),"Complete required fields",IF(COUNTIFS($A$7:$A$506,A315)&gt;1,"Duplicate ID",IF(COUNTIFS('Accounts'!$A$7:$A$26,C315,'Accounts'!$B$7:$B$26,D315)&lt;&gt;1,"Check account/currency",IF(OR(I315&lt;0,J315&lt;0,AND(I315&gt;0,J315&gt;0),AND(I315=0,J315=0)),"Check amounts",IF(OR(AND(E315="Income",J315&gt;0),AND(E315="Expense",I315&gt;0),AND(E315="Transfer in",J315&gt;0),AND(E315="Transfer out",I315&gt;0)),"Check type/direction",IF(AND(OR(E315="Transfer in",E315="Transfer out"),M315=""),"Add transfer pair ID",IF(AND(OR(E315="Transfer in",E315="Transfer out"),COUNTIFS($M$7:$M$506,M315,$D$7:$D$506,D315)&lt;&gt;2),"Check transfer pair",IF(AND(E315="Expense",K315=""),"Assign budget fund",IF(AND(E315="Expense",L315=""),"Add receipt / proof",""))))))))))</x:f>
      </x:c>
    </x:row>
    <x:row r="316" ht="24" customHeight="1">
      <x:c r="A316" s="10"/>
      <x:c r="B316" s="5"/>
      <x:c r="C316" s="10"/>
      <x:c r="D316" s="10"/>
      <x:c r="E316" s="10"/>
      <x:c r="F316" s="10"/>
      <x:c r="G316" s="10"/>
      <x:c r="H316" s="10"/>
      <x:c r="I316" s="11"/>
      <x:c r="J316" s="11"/>
      <x:c r="K316" s="10"/>
      <x:c r="L316" s="10"/>
      <x:c r="M316" s="10"/>
      <x:c r="N316" s="10"/>
      <x:c r="O316" s="1" t="str">
        <x:f>IF(COUNTA(A316:N316)=0,"",IF(OR(A316="",B316="",C316="",NOT(ISNUMBER(D316)),NOT(ISNUMBER(E316))),"Complete required fields",IF(COUNTIFS($A$7:$A$506,A316)&gt;1,"Duplicate ID",IF(COUNTIFS('Accounts'!$A$7:$A$26,C316,'Accounts'!$B$7:$B$26,D316)&lt;&gt;1,"Check account/currency",IF(OR(I316&lt;0,J316&lt;0,AND(I316&gt;0,J316&gt;0),AND(I316=0,J316=0)),"Check amounts",IF(OR(AND(E316="Income",J316&gt;0),AND(E316="Expense",I316&gt;0),AND(E316="Transfer in",J316&gt;0),AND(E316="Transfer out",I316&gt;0)),"Check type/direction",IF(AND(OR(E316="Transfer in",E316="Transfer out"),M316=""),"Add transfer pair ID",IF(AND(OR(E316="Transfer in",E316="Transfer out"),COUNTIFS($M$7:$M$506,M316,$D$7:$D$506,D316)&lt;&gt;2),"Check transfer pair",IF(AND(E316="Expense",K316=""),"Assign budget fund",IF(AND(E316="Expense",L316=""),"Add receipt / proof",""))))))))))</x:f>
      </x:c>
    </x:row>
    <x:row r="317" ht="24" customHeight="1">
      <x:c r="A317" s="10"/>
      <x:c r="B317" s="5"/>
      <x:c r="C317" s="10"/>
      <x:c r="D317" s="10"/>
      <x:c r="E317" s="10"/>
      <x:c r="F317" s="10"/>
      <x:c r="G317" s="10"/>
      <x:c r="H317" s="10"/>
      <x:c r="I317" s="11"/>
      <x:c r="J317" s="11"/>
      <x:c r="K317" s="10"/>
      <x:c r="L317" s="10"/>
      <x:c r="M317" s="10"/>
      <x:c r="N317" s="10"/>
      <x:c r="O317" s="1" t="str">
        <x:f>IF(COUNTA(A317:N317)=0,"",IF(OR(A317="",B317="",C317="",NOT(ISNUMBER(D317)),NOT(ISNUMBER(E317))),"Complete required fields",IF(COUNTIFS($A$7:$A$506,A317)&gt;1,"Duplicate ID",IF(COUNTIFS('Accounts'!$A$7:$A$26,C317,'Accounts'!$B$7:$B$26,D317)&lt;&gt;1,"Check account/currency",IF(OR(I317&lt;0,J317&lt;0,AND(I317&gt;0,J317&gt;0),AND(I317=0,J317=0)),"Check amounts",IF(OR(AND(E317="Income",J317&gt;0),AND(E317="Expense",I317&gt;0),AND(E317="Transfer in",J317&gt;0),AND(E317="Transfer out",I317&gt;0)),"Check type/direction",IF(AND(OR(E317="Transfer in",E317="Transfer out"),M317=""),"Add transfer pair ID",IF(AND(OR(E317="Transfer in",E317="Transfer out"),COUNTIFS($M$7:$M$506,M317,$D$7:$D$506,D317)&lt;&gt;2),"Check transfer pair",IF(AND(E317="Expense",K317=""),"Assign budget fund",IF(AND(E317="Expense",L317=""),"Add receipt / proof",""))))))))))</x:f>
      </x:c>
    </x:row>
    <x:row r="318" ht="24" customHeight="1">
      <x:c r="A318" s="10"/>
      <x:c r="B318" s="5"/>
      <x:c r="C318" s="10"/>
      <x:c r="D318" s="10"/>
      <x:c r="E318" s="10"/>
      <x:c r="F318" s="10"/>
      <x:c r="G318" s="10"/>
      <x:c r="H318" s="10"/>
      <x:c r="I318" s="11"/>
      <x:c r="J318" s="11"/>
      <x:c r="K318" s="10"/>
      <x:c r="L318" s="10"/>
      <x:c r="M318" s="10"/>
      <x:c r="N318" s="10"/>
      <x:c r="O318" s="1" t="str">
        <x:f>IF(COUNTA(A318:N318)=0,"",IF(OR(A318="",B318="",C318="",NOT(ISNUMBER(D318)),NOT(ISNUMBER(E318))),"Complete required fields",IF(COUNTIFS($A$7:$A$506,A318)&gt;1,"Duplicate ID",IF(COUNTIFS('Accounts'!$A$7:$A$26,C318,'Accounts'!$B$7:$B$26,D318)&lt;&gt;1,"Check account/currency",IF(OR(I318&lt;0,J318&lt;0,AND(I318&gt;0,J318&gt;0),AND(I318=0,J318=0)),"Check amounts",IF(OR(AND(E318="Income",J318&gt;0),AND(E318="Expense",I318&gt;0),AND(E318="Transfer in",J318&gt;0),AND(E318="Transfer out",I318&gt;0)),"Check type/direction",IF(AND(OR(E318="Transfer in",E318="Transfer out"),M318=""),"Add transfer pair ID",IF(AND(OR(E318="Transfer in",E318="Transfer out"),COUNTIFS($M$7:$M$506,M318,$D$7:$D$506,D318)&lt;&gt;2),"Check transfer pair",IF(AND(E318="Expense",K318=""),"Assign budget fund",IF(AND(E318="Expense",L318=""),"Add receipt / proof",""))))))))))</x:f>
      </x:c>
    </x:row>
    <x:row r="319" ht="24" customHeight="1">
      <x:c r="A319" s="10"/>
      <x:c r="B319" s="5"/>
      <x:c r="C319" s="10"/>
      <x:c r="D319" s="10"/>
      <x:c r="E319" s="10"/>
      <x:c r="F319" s="10"/>
      <x:c r="G319" s="10"/>
      <x:c r="H319" s="10"/>
      <x:c r="I319" s="11"/>
      <x:c r="J319" s="11"/>
      <x:c r="K319" s="10"/>
      <x:c r="L319" s="10"/>
      <x:c r="M319" s="10"/>
      <x:c r="N319" s="10"/>
      <x:c r="O319" s="1" t="str">
        <x:f>IF(COUNTA(A319:N319)=0,"",IF(OR(A319="",B319="",C319="",NOT(ISNUMBER(D319)),NOT(ISNUMBER(E319))),"Complete required fields",IF(COUNTIFS($A$7:$A$506,A319)&gt;1,"Duplicate ID",IF(COUNTIFS('Accounts'!$A$7:$A$26,C319,'Accounts'!$B$7:$B$26,D319)&lt;&gt;1,"Check account/currency",IF(OR(I319&lt;0,J319&lt;0,AND(I319&gt;0,J319&gt;0),AND(I319=0,J319=0)),"Check amounts",IF(OR(AND(E319="Income",J319&gt;0),AND(E319="Expense",I319&gt;0),AND(E319="Transfer in",J319&gt;0),AND(E319="Transfer out",I319&gt;0)),"Check type/direction",IF(AND(OR(E319="Transfer in",E319="Transfer out"),M319=""),"Add transfer pair ID",IF(AND(OR(E319="Transfer in",E319="Transfer out"),COUNTIFS($M$7:$M$506,M319,$D$7:$D$506,D319)&lt;&gt;2),"Check transfer pair",IF(AND(E319="Expense",K319=""),"Assign budget fund",IF(AND(E319="Expense",L319=""),"Add receipt / proof",""))))))))))</x:f>
      </x:c>
    </x:row>
    <x:row r="320" ht="24" customHeight="1">
      <x:c r="A320" s="10"/>
      <x:c r="B320" s="5"/>
      <x:c r="C320" s="10"/>
      <x:c r="D320" s="10"/>
      <x:c r="E320" s="10"/>
      <x:c r="F320" s="10"/>
      <x:c r="G320" s="10"/>
      <x:c r="H320" s="10"/>
      <x:c r="I320" s="11"/>
      <x:c r="J320" s="11"/>
      <x:c r="K320" s="10"/>
      <x:c r="L320" s="10"/>
      <x:c r="M320" s="10"/>
      <x:c r="N320" s="10"/>
      <x:c r="O320" s="1" t="str">
        <x:f>IF(COUNTA(A320:N320)=0,"",IF(OR(A320="",B320="",C320="",NOT(ISNUMBER(D320)),NOT(ISNUMBER(E320))),"Complete required fields",IF(COUNTIFS($A$7:$A$506,A320)&gt;1,"Duplicate ID",IF(COUNTIFS('Accounts'!$A$7:$A$26,C320,'Accounts'!$B$7:$B$26,D320)&lt;&gt;1,"Check account/currency",IF(OR(I320&lt;0,J320&lt;0,AND(I320&gt;0,J320&gt;0),AND(I320=0,J320=0)),"Check amounts",IF(OR(AND(E320="Income",J320&gt;0),AND(E320="Expense",I320&gt;0),AND(E320="Transfer in",J320&gt;0),AND(E320="Transfer out",I320&gt;0)),"Check type/direction",IF(AND(OR(E320="Transfer in",E320="Transfer out"),M320=""),"Add transfer pair ID",IF(AND(OR(E320="Transfer in",E320="Transfer out"),COUNTIFS($M$7:$M$506,M320,$D$7:$D$506,D320)&lt;&gt;2),"Check transfer pair",IF(AND(E320="Expense",K320=""),"Assign budget fund",IF(AND(E320="Expense",L320=""),"Add receipt / proof",""))))))))))</x:f>
      </x:c>
    </x:row>
    <x:row r="321" ht="24" customHeight="1">
      <x:c r="A321" s="10"/>
      <x:c r="B321" s="5"/>
      <x:c r="C321" s="10"/>
      <x:c r="D321" s="10"/>
      <x:c r="E321" s="10"/>
      <x:c r="F321" s="10"/>
      <x:c r="G321" s="10"/>
      <x:c r="H321" s="10"/>
      <x:c r="I321" s="11"/>
      <x:c r="J321" s="11"/>
      <x:c r="K321" s="10"/>
      <x:c r="L321" s="10"/>
      <x:c r="M321" s="10"/>
      <x:c r="N321" s="10"/>
      <x:c r="O321" s="1" t="str">
        <x:f>IF(COUNTA(A321:N321)=0,"",IF(OR(A321="",B321="",C321="",NOT(ISNUMBER(D321)),NOT(ISNUMBER(E321))),"Complete required fields",IF(COUNTIFS($A$7:$A$506,A321)&gt;1,"Duplicate ID",IF(COUNTIFS('Accounts'!$A$7:$A$26,C321,'Accounts'!$B$7:$B$26,D321)&lt;&gt;1,"Check account/currency",IF(OR(I321&lt;0,J321&lt;0,AND(I321&gt;0,J321&gt;0),AND(I321=0,J321=0)),"Check amounts",IF(OR(AND(E321="Income",J321&gt;0),AND(E321="Expense",I321&gt;0),AND(E321="Transfer in",J321&gt;0),AND(E321="Transfer out",I321&gt;0)),"Check type/direction",IF(AND(OR(E321="Transfer in",E321="Transfer out"),M321=""),"Add transfer pair ID",IF(AND(OR(E321="Transfer in",E321="Transfer out"),COUNTIFS($M$7:$M$506,M321,$D$7:$D$506,D321)&lt;&gt;2),"Check transfer pair",IF(AND(E321="Expense",K321=""),"Assign budget fund",IF(AND(E321="Expense",L321=""),"Add receipt / proof",""))))))))))</x:f>
      </x:c>
    </x:row>
    <x:row r="322" ht="24" customHeight="1">
      <x:c r="A322" s="10"/>
      <x:c r="B322" s="5"/>
      <x:c r="C322" s="10"/>
      <x:c r="D322" s="10"/>
      <x:c r="E322" s="10"/>
      <x:c r="F322" s="10"/>
      <x:c r="G322" s="10"/>
      <x:c r="H322" s="10"/>
      <x:c r="I322" s="11"/>
      <x:c r="J322" s="11"/>
      <x:c r="K322" s="10"/>
      <x:c r="L322" s="10"/>
      <x:c r="M322" s="10"/>
      <x:c r="N322" s="10"/>
      <x:c r="O322" s="1" t="str">
        <x:f>IF(COUNTA(A322:N322)=0,"",IF(OR(A322="",B322="",C322="",NOT(ISNUMBER(D322)),NOT(ISNUMBER(E322))),"Complete required fields",IF(COUNTIFS($A$7:$A$506,A322)&gt;1,"Duplicate ID",IF(COUNTIFS('Accounts'!$A$7:$A$26,C322,'Accounts'!$B$7:$B$26,D322)&lt;&gt;1,"Check account/currency",IF(OR(I322&lt;0,J322&lt;0,AND(I322&gt;0,J322&gt;0),AND(I322=0,J322=0)),"Check amounts",IF(OR(AND(E322="Income",J322&gt;0),AND(E322="Expense",I322&gt;0),AND(E322="Transfer in",J322&gt;0),AND(E322="Transfer out",I322&gt;0)),"Check type/direction",IF(AND(OR(E322="Transfer in",E322="Transfer out"),M322=""),"Add transfer pair ID",IF(AND(OR(E322="Transfer in",E322="Transfer out"),COUNTIFS($M$7:$M$506,M322,$D$7:$D$506,D322)&lt;&gt;2),"Check transfer pair",IF(AND(E322="Expense",K322=""),"Assign budget fund",IF(AND(E322="Expense",L322=""),"Add receipt / proof",""))))))))))</x:f>
      </x:c>
    </x:row>
    <x:row r="323" ht="24" customHeight="1">
      <x:c r="A323" s="10"/>
      <x:c r="B323" s="5"/>
      <x:c r="C323" s="10"/>
      <x:c r="D323" s="10"/>
      <x:c r="E323" s="10"/>
      <x:c r="F323" s="10"/>
      <x:c r="G323" s="10"/>
      <x:c r="H323" s="10"/>
      <x:c r="I323" s="11"/>
      <x:c r="J323" s="11"/>
      <x:c r="K323" s="10"/>
      <x:c r="L323" s="10"/>
      <x:c r="M323" s="10"/>
      <x:c r="N323" s="10"/>
      <x:c r="O323" s="1" t="str">
        <x:f>IF(COUNTA(A323:N323)=0,"",IF(OR(A323="",B323="",C323="",NOT(ISNUMBER(D323)),NOT(ISNUMBER(E323))),"Complete required fields",IF(COUNTIFS($A$7:$A$506,A323)&gt;1,"Duplicate ID",IF(COUNTIFS('Accounts'!$A$7:$A$26,C323,'Accounts'!$B$7:$B$26,D323)&lt;&gt;1,"Check account/currency",IF(OR(I323&lt;0,J323&lt;0,AND(I323&gt;0,J323&gt;0),AND(I323=0,J323=0)),"Check amounts",IF(OR(AND(E323="Income",J323&gt;0),AND(E323="Expense",I323&gt;0),AND(E323="Transfer in",J323&gt;0),AND(E323="Transfer out",I323&gt;0)),"Check type/direction",IF(AND(OR(E323="Transfer in",E323="Transfer out"),M323=""),"Add transfer pair ID",IF(AND(OR(E323="Transfer in",E323="Transfer out"),COUNTIFS($M$7:$M$506,M323,$D$7:$D$506,D323)&lt;&gt;2),"Check transfer pair",IF(AND(E323="Expense",K323=""),"Assign budget fund",IF(AND(E323="Expense",L323=""),"Add receipt / proof",""))))))))))</x:f>
      </x:c>
    </x:row>
    <x:row r="324" ht="24" customHeight="1">
      <x:c r="A324" s="10"/>
      <x:c r="B324" s="5"/>
      <x:c r="C324" s="10"/>
      <x:c r="D324" s="10"/>
      <x:c r="E324" s="10"/>
      <x:c r="F324" s="10"/>
      <x:c r="G324" s="10"/>
      <x:c r="H324" s="10"/>
      <x:c r="I324" s="11"/>
      <x:c r="J324" s="11"/>
      <x:c r="K324" s="10"/>
      <x:c r="L324" s="10"/>
      <x:c r="M324" s="10"/>
      <x:c r="N324" s="10"/>
      <x:c r="O324" s="1" t="str">
        <x:f>IF(COUNTA(A324:N324)=0,"",IF(OR(A324="",B324="",C324="",NOT(ISNUMBER(D324)),NOT(ISNUMBER(E324))),"Complete required fields",IF(COUNTIFS($A$7:$A$506,A324)&gt;1,"Duplicate ID",IF(COUNTIFS('Accounts'!$A$7:$A$26,C324,'Accounts'!$B$7:$B$26,D324)&lt;&gt;1,"Check account/currency",IF(OR(I324&lt;0,J324&lt;0,AND(I324&gt;0,J324&gt;0),AND(I324=0,J324=0)),"Check amounts",IF(OR(AND(E324="Income",J324&gt;0),AND(E324="Expense",I324&gt;0),AND(E324="Transfer in",J324&gt;0),AND(E324="Transfer out",I324&gt;0)),"Check type/direction",IF(AND(OR(E324="Transfer in",E324="Transfer out"),M324=""),"Add transfer pair ID",IF(AND(OR(E324="Transfer in",E324="Transfer out"),COUNTIFS($M$7:$M$506,M324,$D$7:$D$506,D324)&lt;&gt;2),"Check transfer pair",IF(AND(E324="Expense",K324=""),"Assign budget fund",IF(AND(E324="Expense",L324=""),"Add receipt / proof",""))))))))))</x:f>
      </x:c>
    </x:row>
    <x:row r="325" ht="24" customHeight="1">
      <x:c r="A325" s="10"/>
      <x:c r="B325" s="5"/>
      <x:c r="C325" s="10"/>
      <x:c r="D325" s="10"/>
      <x:c r="E325" s="10"/>
      <x:c r="F325" s="10"/>
      <x:c r="G325" s="10"/>
      <x:c r="H325" s="10"/>
      <x:c r="I325" s="11"/>
      <x:c r="J325" s="11"/>
      <x:c r="K325" s="10"/>
      <x:c r="L325" s="10"/>
      <x:c r="M325" s="10"/>
      <x:c r="N325" s="10"/>
      <x:c r="O325" s="1" t="str">
        <x:f>IF(COUNTA(A325:N325)=0,"",IF(OR(A325="",B325="",C325="",NOT(ISNUMBER(D325)),NOT(ISNUMBER(E325))),"Complete required fields",IF(COUNTIFS($A$7:$A$506,A325)&gt;1,"Duplicate ID",IF(COUNTIFS('Accounts'!$A$7:$A$26,C325,'Accounts'!$B$7:$B$26,D325)&lt;&gt;1,"Check account/currency",IF(OR(I325&lt;0,J325&lt;0,AND(I325&gt;0,J325&gt;0),AND(I325=0,J325=0)),"Check amounts",IF(OR(AND(E325="Income",J325&gt;0),AND(E325="Expense",I325&gt;0),AND(E325="Transfer in",J325&gt;0),AND(E325="Transfer out",I325&gt;0)),"Check type/direction",IF(AND(OR(E325="Transfer in",E325="Transfer out"),M325=""),"Add transfer pair ID",IF(AND(OR(E325="Transfer in",E325="Transfer out"),COUNTIFS($M$7:$M$506,M325,$D$7:$D$506,D325)&lt;&gt;2),"Check transfer pair",IF(AND(E325="Expense",K325=""),"Assign budget fund",IF(AND(E325="Expense",L325=""),"Add receipt / proof",""))))))))))</x:f>
      </x:c>
    </x:row>
    <x:row r="326" ht="24" customHeight="1">
      <x:c r="A326" s="10"/>
      <x:c r="B326" s="5"/>
      <x:c r="C326" s="10"/>
      <x:c r="D326" s="10"/>
      <x:c r="E326" s="10"/>
      <x:c r="F326" s="10"/>
      <x:c r="G326" s="10"/>
      <x:c r="H326" s="10"/>
      <x:c r="I326" s="11"/>
      <x:c r="J326" s="11"/>
      <x:c r="K326" s="10"/>
      <x:c r="L326" s="10"/>
      <x:c r="M326" s="10"/>
      <x:c r="N326" s="10"/>
      <x:c r="O326" s="1" t="str">
        <x:f>IF(COUNTA(A326:N326)=0,"",IF(OR(A326="",B326="",C326="",NOT(ISNUMBER(D326)),NOT(ISNUMBER(E326))),"Complete required fields",IF(COUNTIFS($A$7:$A$506,A326)&gt;1,"Duplicate ID",IF(COUNTIFS('Accounts'!$A$7:$A$26,C326,'Accounts'!$B$7:$B$26,D326)&lt;&gt;1,"Check account/currency",IF(OR(I326&lt;0,J326&lt;0,AND(I326&gt;0,J326&gt;0),AND(I326=0,J326=0)),"Check amounts",IF(OR(AND(E326="Income",J326&gt;0),AND(E326="Expense",I326&gt;0),AND(E326="Transfer in",J326&gt;0),AND(E326="Transfer out",I326&gt;0)),"Check type/direction",IF(AND(OR(E326="Transfer in",E326="Transfer out"),M326=""),"Add transfer pair ID",IF(AND(OR(E326="Transfer in",E326="Transfer out"),COUNTIFS($M$7:$M$506,M326,$D$7:$D$506,D326)&lt;&gt;2),"Check transfer pair",IF(AND(E326="Expense",K326=""),"Assign budget fund",IF(AND(E326="Expense",L326=""),"Add receipt / proof",""))))))))))</x:f>
      </x:c>
    </x:row>
    <x:row r="327" ht="24" customHeight="1">
      <x:c r="A327" s="10"/>
      <x:c r="B327" s="5"/>
      <x:c r="C327" s="10"/>
      <x:c r="D327" s="10"/>
      <x:c r="E327" s="10"/>
      <x:c r="F327" s="10"/>
      <x:c r="G327" s="10"/>
      <x:c r="H327" s="10"/>
      <x:c r="I327" s="11"/>
      <x:c r="J327" s="11"/>
      <x:c r="K327" s="10"/>
      <x:c r="L327" s="10"/>
      <x:c r="M327" s="10"/>
      <x:c r="N327" s="10"/>
      <x:c r="O327" s="1" t="str">
        <x:f>IF(COUNTA(A327:N327)=0,"",IF(OR(A327="",B327="",C327="",NOT(ISNUMBER(D327)),NOT(ISNUMBER(E327))),"Complete required fields",IF(COUNTIFS($A$7:$A$506,A327)&gt;1,"Duplicate ID",IF(COUNTIFS('Accounts'!$A$7:$A$26,C327,'Accounts'!$B$7:$B$26,D327)&lt;&gt;1,"Check account/currency",IF(OR(I327&lt;0,J327&lt;0,AND(I327&gt;0,J327&gt;0),AND(I327=0,J327=0)),"Check amounts",IF(OR(AND(E327="Income",J327&gt;0),AND(E327="Expense",I327&gt;0),AND(E327="Transfer in",J327&gt;0),AND(E327="Transfer out",I327&gt;0)),"Check type/direction",IF(AND(OR(E327="Transfer in",E327="Transfer out"),M327=""),"Add transfer pair ID",IF(AND(OR(E327="Transfer in",E327="Transfer out"),COUNTIFS($M$7:$M$506,M327,$D$7:$D$506,D327)&lt;&gt;2),"Check transfer pair",IF(AND(E327="Expense",K327=""),"Assign budget fund",IF(AND(E327="Expense",L327=""),"Add receipt / proof",""))))))))))</x:f>
      </x:c>
    </x:row>
    <x:row r="328" ht="24" customHeight="1">
      <x:c r="A328" s="10"/>
      <x:c r="B328" s="5"/>
      <x:c r="C328" s="10"/>
      <x:c r="D328" s="10"/>
      <x:c r="E328" s="10"/>
      <x:c r="F328" s="10"/>
      <x:c r="G328" s="10"/>
      <x:c r="H328" s="10"/>
      <x:c r="I328" s="11"/>
      <x:c r="J328" s="11"/>
      <x:c r="K328" s="10"/>
      <x:c r="L328" s="10"/>
      <x:c r="M328" s="10"/>
      <x:c r="N328" s="10"/>
      <x:c r="O328" s="1" t="str">
        <x:f>IF(COUNTA(A328:N328)=0,"",IF(OR(A328="",B328="",C328="",NOT(ISNUMBER(D328)),NOT(ISNUMBER(E328))),"Complete required fields",IF(COUNTIFS($A$7:$A$506,A328)&gt;1,"Duplicate ID",IF(COUNTIFS('Accounts'!$A$7:$A$26,C328,'Accounts'!$B$7:$B$26,D328)&lt;&gt;1,"Check account/currency",IF(OR(I328&lt;0,J328&lt;0,AND(I328&gt;0,J328&gt;0),AND(I328=0,J328=0)),"Check amounts",IF(OR(AND(E328="Income",J328&gt;0),AND(E328="Expense",I328&gt;0),AND(E328="Transfer in",J328&gt;0),AND(E328="Transfer out",I328&gt;0)),"Check type/direction",IF(AND(OR(E328="Transfer in",E328="Transfer out"),M328=""),"Add transfer pair ID",IF(AND(OR(E328="Transfer in",E328="Transfer out"),COUNTIFS($M$7:$M$506,M328,$D$7:$D$506,D328)&lt;&gt;2),"Check transfer pair",IF(AND(E328="Expense",K328=""),"Assign budget fund",IF(AND(E328="Expense",L328=""),"Add receipt / proof",""))))))))))</x:f>
      </x:c>
    </x:row>
    <x:row r="329" ht="24" customHeight="1">
      <x:c r="A329" s="10"/>
      <x:c r="B329" s="5"/>
      <x:c r="C329" s="10"/>
      <x:c r="D329" s="10"/>
      <x:c r="E329" s="10"/>
      <x:c r="F329" s="10"/>
      <x:c r="G329" s="10"/>
      <x:c r="H329" s="10"/>
      <x:c r="I329" s="11"/>
      <x:c r="J329" s="11"/>
      <x:c r="K329" s="10"/>
      <x:c r="L329" s="10"/>
      <x:c r="M329" s="10"/>
      <x:c r="N329" s="10"/>
      <x:c r="O329" s="1" t="str">
        <x:f>IF(COUNTA(A329:N329)=0,"",IF(OR(A329="",B329="",C329="",NOT(ISNUMBER(D329)),NOT(ISNUMBER(E329))),"Complete required fields",IF(COUNTIFS($A$7:$A$506,A329)&gt;1,"Duplicate ID",IF(COUNTIFS('Accounts'!$A$7:$A$26,C329,'Accounts'!$B$7:$B$26,D329)&lt;&gt;1,"Check account/currency",IF(OR(I329&lt;0,J329&lt;0,AND(I329&gt;0,J329&gt;0),AND(I329=0,J329=0)),"Check amounts",IF(OR(AND(E329="Income",J329&gt;0),AND(E329="Expense",I329&gt;0),AND(E329="Transfer in",J329&gt;0),AND(E329="Transfer out",I329&gt;0)),"Check type/direction",IF(AND(OR(E329="Transfer in",E329="Transfer out"),M329=""),"Add transfer pair ID",IF(AND(OR(E329="Transfer in",E329="Transfer out"),COUNTIFS($M$7:$M$506,M329,$D$7:$D$506,D329)&lt;&gt;2),"Check transfer pair",IF(AND(E329="Expense",K329=""),"Assign budget fund",IF(AND(E329="Expense",L329=""),"Add receipt / proof",""))))))))))</x:f>
      </x:c>
    </x:row>
    <x:row r="330" ht="24" customHeight="1">
      <x:c r="A330" s="10"/>
      <x:c r="B330" s="5"/>
      <x:c r="C330" s="10"/>
      <x:c r="D330" s="10"/>
      <x:c r="E330" s="10"/>
      <x:c r="F330" s="10"/>
      <x:c r="G330" s="10"/>
      <x:c r="H330" s="10"/>
      <x:c r="I330" s="11"/>
      <x:c r="J330" s="11"/>
      <x:c r="K330" s="10"/>
      <x:c r="L330" s="10"/>
      <x:c r="M330" s="10"/>
      <x:c r="N330" s="10"/>
      <x:c r="O330" s="1" t="str">
        <x:f>IF(COUNTA(A330:N330)=0,"",IF(OR(A330="",B330="",C330="",NOT(ISNUMBER(D330)),NOT(ISNUMBER(E330))),"Complete required fields",IF(COUNTIFS($A$7:$A$506,A330)&gt;1,"Duplicate ID",IF(COUNTIFS('Accounts'!$A$7:$A$26,C330,'Accounts'!$B$7:$B$26,D330)&lt;&gt;1,"Check account/currency",IF(OR(I330&lt;0,J330&lt;0,AND(I330&gt;0,J330&gt;0),AND(I330=0,J330=0)),"Check amounts",IF(OR(AND(E330="Income",J330&gt;0),AND(E330="Expense",I330&gt;0),AND(E330="Transfer in",J330&gt;0),AND(E330="Transfer out",I330&gt;0)),"Check type/direction",IF(AND(OR(E330="Transfer in",E330="Transfer out"),M330=""),"Add transfer pair ID",IF(AND(OR(E330="Transfer in",E330="Transfer out"),COUNTIFS($M$7:$M$506,M330,$D$7:$D$506,D330)&lt;&gt;2),"Check transfer pair",IF(AND(E330="Expense",K330=""),"Assign budget fund",IF(AND(E330="Expense",L330=""),"Add receipt / proof",""))))))))))</x:f>
      </x:c>
    </x:row>
    <x:row r="331" ht="24" customHeight="1">
      <x:c r="A331" s="10"/>
      <x:c r="B331" s="5"/>
      <x:c r="C331" s="10"/>
      <x:c r="D331" s="10"/>
      <x:c r="E331" s="10"/>
      <x:c r="F331" s="10"/>
      <x:c r="G331" s="10"/>
      <x:c r="H331" s="10"/>
      <x:c r="I331" s="11"/>
      <x:c r="J331" s="11"/>
      <x:c r="K331" s="10"/>
      <x:c r="L331" s="10"/>
      <x:c r="M331" s="10"/>
      <x:c r="N331" s="10"/>
      <x:c r="O331" s="1" t="str">
        <x:f>IF(COUNTA(A331:N331)=0,"",IF(OR(A331="",B331="",C331="",NOT(ISNUMBER(D331)),NOT(ISNUMBER(E331))),"Complete required fields",IF(COUNTIFS($A$7:$A$506,A331)&gt;1,"Duplicate ID",IF(COUNTIFS('Accounts'!$A$7:$A$26,C331,'Accounts'!$B$7:$B$26,D331)&lt;&gt;1,"Check account/currency",IF(OR(I331&lt;0,J331&lt;0,AND(I331&gt;0,J331&gt;0),AND(I331=0,J331=0)),"Check amounts",IF(OR(AND(E331="Income",J331&gt;0),AND(E331="Expense",I331&gt;0),AND(E331="Transfer in",J331&gt;0),AND(E331="Transfer out",I331&gt;0)),"Check type/direction",IF(AND(OR(E331="Transfer in",E331="Transfer out"),M331=""),"Add transfer pair ID",IF(AND(OR(E331="Transfer in",E331="Transfer out"),COUNTIFS($M$7:$M$506,M331,$D$7:$D$506,D331)&lt;&gt;2),"Check transfer pair",IF(AND(E331="Expense",K331=""),"Assign budget fund",IF(AND(E331="Expense",L331=""),"Add receipt / proof",""))))))))))</x:f>
      </x:c>
    </x:row>
    <x:row r="332" ht="24" customHeight="1">
      <x:c r="A332" s="10"/>
      <x:c r="B332" s="5"/>
      <x:c r="C332" s="10"/>
      <x:c r="D332" s="10"/>
      <x:c r="E332" s="10"/>
      <x:c r="F332" s="10"/>
      <x:c r="G332" s="10"/>
      <x:c r="H332" s="10"/>
      <x:c r="I332" s="11"/>
      <x:c r="J332" s="11"/>
      <x:c r="K332" s="10"/>
      <x:c r="L332" s="10"/>
      <x:c r="M332" s="10"/>
      <x:c r="N332" s="10"/>
      <x:c r="O332" s="1" t="str">
        <x:f>IF(COUNTA(A332:N332)=0,"",IF(OR(A332="",B332="",C332="",NOT(ISNUMBER(D332)),NOT(ISNUMBER(E332))),"Complete required fields",IF(COUNTIFS($A$7:$A$506,A332)&gt;1,"Duplicate ID",IF(COUNTIFS('Accounts'!$A$7:$A$26,C332,'Accounts'!$B$7:$B$26,D332)&lt;&gt;1,"Check account/currency",IF(OR(I332&lt;0,J332&lt;0,AND(I332&gt;0,J332&gt;0),AND(I332=0,J332=0)),"Check amounts",IF(OR(AND(E332="Income",J332&gt;0),AND(E332="Expense",I332&gt;0),AND(E332="Transfer in",J332&gt;0),AND(E332="Transfer out",I332&gt;0)),"Check type/direction",IF(AND(OR(E332="Transfer in",E332="Transfer out"),M332=""),"Add transfer pair ID",IF(AND(OR(E332="Transfer in",E332="Transfer out"),COUNTIFS($M$7:$M$506,M332,$D$7:$D$506,D332)&lt;&gt;2),"Check transfer pair",IF(AND(E332="Expense",K332=""),"Assign budget fund",IF(AND(E332="Expense",L332=""),"Add receipt / proof",""))))))))))</x:f>
      </x:c>
    </x:row>
    <x:row r="333" ht="24" customHeight="1">
      <x:c r="A333" s="10"/>
      <x:c r="B333" s="5"/>
      <x:c r="C333" s="10"/>
      <x:c r="D333" s="10"/>
      <x:c r="E333" s="10"/>
      <x:c r="F333" s="10"/>
      <x:c r="G333" s="10"/>
      <x:c r="H333" s="10"/>
      <x:c r="I333" s="11"/>
      <x:c r="J333" s="11"/>
      <x:c r="K333" s="10"/>
      <x:c r="L333" s="10"/>
      <x:c r="M333" s="10"/>
      <x:c r="N333" s="10"/>
      <x:c r="O333" s="1" t="str">
        <x:f>IF(COUNTA(A333:N333)=0,"",IF(OR(A333="",B333="",C333="",NOT(ISNUMBER(D333)),NOT(ISNUMBER(E333))),"Complete required fields",IF(COUNTIFS($A$7:$A$506,A333)&gt;1,"Duplicate ID",IF(COUNTIFS('Accounts'!$A$7:$A$26,C333,'Accounts'!$B$7:$B$26,D333)&lt;&gt;1,"Check account/currency",IF(OR(I333&lt;0,J333&lt;0,AND(I333&gt;0,J333&gt;0),AND(I333=0,J333=0)),"Check amounts",IF(OR(AND(E333="Income",J333&gt;0),AND(E333="Expense",I333&gt;0),AND(E333="Transfer in",J333&gt;0),AND(E333="Transfer out",I333&gt;0)),"Check type/direction",IF(AND(OR(E333="Transfer in",E333="Transfer out"),M333=""),"Add transfer pair ID",IF(AND(OR(E333="Transfer in",E333="Transfer out"),COUNTIFS($M$7:$M$506,M333,$D$7:$D$506,D333)&lt;&gt;2),"Check transfer pair",IF(AND(E333="Expense",K333=""),"Assign budget fund",IF(AND(E333="Expense",L333=""),"Add receipt / proof",""))))))))))</x:f>
      </x:c>
    </x:row>
    <x:row r="334" ht="24" customHeight="1">
      <x:c r="A334" s="10"/>
      <x:c r="B334" s="5"/>
      <x:c r="C334" s="10"/>
      <x:c r="D334" s="10"/>
      <x:c r="E334" s="10"/>
      <x:c r="F334" s="10"/>
      <x:c r="G334" s="10"/>
      <x:c r="H334" s="10"/>
      <x:c r="I334" s="11"/>
      <x:c r="J334" s="11"/>
      <x:c r="K334" s="10"/>
      <x:c r="L334" s="10"/>
      <x:c r="M334" s="10"/>
      <x:c r="N334" s="10"/>
      <x:c r="O334" s="1" t="str">
        <x:f>IF(COUNTA(A334:N334)=0,"",IF(OR(A334="",B334="",C334="",NOT(ISNUMBER(D334)),NOT(ISNUMBER(E334))),"Complete required fields",IF(COUNTIFS($A$7:$A$506,A334)&gt;1,"Duplicate ID",IF(COUNTIFS('Accounts'!$A$7:$A$26,C334,'Accounts'!$B$7:$B$26,D334)&lt;&gt;1,"Check account/currency",IF(OR(I334&lt;0,J334&lt;0,AND(I334&gt;0,J334&gt;0),AND(I334=0,J334=0)),"Check amounts",IF(OR(AND(E334="Income",J334&gt;0),AND(E334="Expense",I334&gt;0),AND(E334="Transfer in",J334&gt;0),AND(E334="Transfer out",I334&gt;0)),"Check type/direction",IF(AND(OR(E334="Transfer in",E334="Transfer out"),M334=""),"Add transfer pair ID",IF(AND(OR(E334="Transfer in",E334="Transfer out"),COUNTIFS($M$7:$M$506,M334,$D$7:$D$506,D334)&lt;&gt;2),"Check transfer pair",IF(AND(E334="Expense",K334=""),"Assign budget fund",IF(AND(E334="Expense",L334=""),"Add receipt / proof",""))))))))))</x:f>
      </x:c>
    </x:row>
    <x:row r="335" ht="24" customHeight="1">
      <x:c r="A335" s="10"/>
      <x:c r="B335" s="5"/>
      <x:c r="C335" s="10"/>
      <x:c r="D335" s="10"/>
      <x:c r="E335" s="10"/>
      <x:c r="F335" s="10"/>
      <x:c r="G335" s="10"/>
      <x:c r="H335" s="10"/>
      <x:c r="I335" s="11"/>
      <x:c r="J335" s="11"/>
      <x:c r="K335" s="10"/>
      <x:c r="L335" s="10"/>
      <x:c r="M335" s="10"/>
      <x:c r="N335" s="10"/>
      <x:c r="O335" s="1" t="str">
        <x:f>IF(COUNTA(A335:N335)=0,"",IF(OR(A335="",B335="",C335="",NOT(ISNUMBER(D335)),NOT(ISNUMBER(E335))),"Complete required fields",IF(COUNTIFS($A$7:$A$506,A335)&gt;1,"Duplicate ID",IF(COUNTIFS('Accounts'!$A$7:$A$26,C335,'Accounts'!$B$7:$B$26,D335)&lt;&gt;1,"Check account/currency",IF(OR(I335&lt;0,J335&lt;0,AND(I335&gt;0,J335&gt;0),AND(I335=0,J335=0)),"Check amounts",IF(OR(AND(E335="Income",J335&gt;0),AND(E335="Expense",I335&gt;0),AND(E335="Transfer in",J335&gt;0),AND(E335="Transfer out",I335&gt;0)),"Check type/direction",IF(AND(OR(E335="Transfer in",E335="Transfer out"),M335=""),"Add transfer pair ID",IF(AND(OR(E335="Transfer in",E335="Transfer out"),COUNTIFS($M$7:$M$506,M335,$D$7:$D$506,D335)&lt;&gt;2),"Check transfer pair",IF(AND(E335="Expense",K335=""),"Assign budget fund",IF(AND(E335="Expense",L335=""),"Add receipt / proof",""))))))))))</x:f>
      </x:c>
    </x:row>
    <x:row r="336" ht="24" customHeight="1">
      <x:c r="A336" s="10"/>
      <x:c r="B336" s="5"/>
      <x:c r="C336" s="10"/>
      <x:c r="D336" s="10"/>
      <x:c r="E336" s="10"/>
      <x:c r="F336" s="10"/>
      <x:c r="G336" s="10"/>
      <x:c r="H336" s="10"/>
      <x:c r="I336" s="11"/>
      <x:c r="J336" s="11"/>
      <x:c r="K336" s="10"/>
      <x:c r="L336" s="10"/>
      <x:c r="M336" s="10"/>
      <x:c r="N336" s="10"/>
      <x:c r="O336" s="1" t="str">
        <x:f>IF(COUNTA(A336:N336)=0,"",IF(OR(A336="",B336="",C336="",NOT(ISNUMBER(D336)),NOT(ISNUMBER(E336))),"Complete required fields",IF(COUNTIFS($A$7:$A$506,A336)&gt;1,"Duplicate ID",IF(COUNTIFS('Accounts'!$A$7:$A$26,C336,'Accounts'!$B$7:$B$26,D336)&lt;&gt;1,"Check account/currency",IF(OR(I336&lt;0,J336&lt;0,AND(I336&gt;0,J336&gt;0),AND(I336=0,J336=0)),"Check amounts",IF(OR(AND(E336="Income",J336&gt;0),AND(E336="Expense",I336&gt;0),AND(E336="Transfer in",J336&gt;0),AND(E336="Transfer out",I336&gt;0)),"Check type/direction",IF(AND(OR(E336="Transfer in",E336="Transfer out"),M336=""),"Add transfer pair ID",IF(AND(OR(E336="Transfer in",E336="Transfer out"),COUNTIFS($M$7:$M$506,M336,$D$7:$D$506,D336)&lt;&gt;2),"Check transfer pair",IF(AND(E336="Expense",K336=""),"Assign budget fund",IF(AND(E336="Expense",L336=""),"Add receipt / proof",""))))))))))</x:f>
      </x:c>
    </x:row>
    <x:row r="337" ht="24" customHeight="1">
      <x:c r="A337" s="10"/>
      <x:c r="B337" s="5"/>
      <x:c r="C337" s="10"/>
      <x:c r="D337" s="10"/>
      <x:c r="E337" s="10"/>
      <x:c r="F337" s="10"/>
      <x:c r="G337" s="10"/>
      <x:c r="H337" s="10"/>
      <x:c r="I337" s="11"/>
      <x:c r="J337" s="11"/>
      <x:c r="K337" s="10"/>
      <x:c r="L337" s="10"/>
      <x:c r="M337" s="10"/>
      <x:c r="N337" s="10"/>
      <x:c r="O337" s="1" t="str">
        <x:f>IF(COUNTA(A337:N337)=0,"",IF(OR(A337="",B337="",C337="",NOT(ISNUMBER(D337)),NOT(ISNUMBER(E337))),"Complete required fields",IF(COUNTIFS($A$7:$A$506,A337)&gt;1,"Duplicate ID",IF(COUNTIFS('Accounts'!$A$7:$A$26,C337,'Accounts'!$B$7:$B$26,D337)&lt;&gt;1,"Check account/currency",IF(OR(I337&lt;0,J337&lt;0,AND(I337&gt;0,J337&gt;0),AND(I337=0,J337=0)),"Check amounts",IF(OR(AND(E337="Income",J337&gt;0),AND(E337="Expense",I337&gt;0),AND(E337="Transfer in",J337&gt;0),AND(E337="Transfer out",I337&gt;0)),"Check type/direction",IF(AND(OR(E337="Transfer in",E337="Transfer out"),M337=""),"Add transfer pair ID",IF(AND(OR(E337="Transfer in",E337="Transfer out"),COUNTIFS($M$7:$M$506,M337,$D$7:$D$506,D337)&lt;&gt;2),"Check transfer pair",IF(AND(E337="Expense",K337=""),"Assign budget fund",IF(AND(E337="Expense",L337=""),"Add receipt / proof",""))))))))))</x:f>
      </x:c>
    </x:row>
    <x:row r="338" ht="24" customHeight="1">
      <x:c r="A338" s="10"/>
      <x:c r="B338" s="5"/>
      <x:c r="C338" s="10"/>
      <x:c r="D338" s="10"/>
      <x:c r="E338" s="10"/>
      <x:c r="F338" s="10"/>
      <x:c r="G338" s="10"/>
      <x:c r="H338" s="10"/>
      <x:c r="I338" s="11"/>
      <x:c r="J338" s="11"/>
      <x:c r="K338" s="10"/>
      <x:c r="L338" s="10"/>
      <x:c r="M338" s="10"/>
      <x:c r="N338" s="10"/>
      <x:c r="O338" s="1" t="str">
        <x:f>IF(COUNTA(A338:N338)=0,"",IF(OR(A338="",B338="",C338="",NOT(ISNUMBER(D338)),NOT(ISNUMBER(E338))),"Complete required fields",IF(COUNTIFS($A$7:$A$506,A338)&gt;1,"Duplicate ID",IF(COUNTIFS('Accounts'!$A$7:$A$26,C338,'Accounts'!$B$7:$B$26,D338)&lt;&gt;1,"Check account/currency",IF(OR(I338&lt;0,J338&lt;0,AND(I338&gt;0,J338&gt;0),AND(I338=0,J338=0)),"Check amounts",IF(OR(AND(E338="Income",J338&gt;0),AND(E338="Expense",I338&gt;0),AND(E338="Transfer in",J338&gt;0),AND(E338="Transfer out",I338&gt;0)),"Check type/direction",IF(AND(OR(E338="Transfer in",E338="Transfer out"),M338=""),"Add transfer pair ID",IF(AND(OR(E338="Transfer in",E338="Transfer out"),COUNTIFS($M$7:$M$506,M338,$D$7:$D$506,D338)&lt;&gt;2),"Check transfer pair",IF(AND(E338="Expense",K338=""),"Assign budget fund",IF(AND(E338="Expense",L338=""),"Add receipt / proof",""))))))))))</x:f>
      </x:c>
    </x:row>
    <x:row r="339" ht="24" customHeight="1">
      <x:c r="A339" s="10"/>
      <x:c r="B339" s="5"/>
      <x:c r="C339" s="10"/>
      <x:c r="D339" s="10"/>
      <x:c r="E339" s="10"/>
      <x:c r="F339" s="10"/>
      <x:c r="G339" s="10"/>
      <x:c r="H339" s="10"/>
      <x:c r="I339" s="11"/>
      <x:c r="J339" s="11"/>
      <x:c r="K339" s="10"/>
      <x:c r="L339" s="10"/>
      <x:c r="M339" s="10"/>
      <x:c r="N339" s="10"/>
      <x:c r="O339" s="1" t="str">
        <x:f>IF(COUNTA(A339:N339)=0,"",IF(OR(A339="",B339="",C339="",NOT(ISNUMBER(D339)),NOT(ISNUMBER(E339))),"Complete required fields",IF(COUNTIFS($A$7:$A$506,A339)&gt;1,"Duplicate ID",IF(COUNTIFS('Accounts'!$A$7:$A$26,C339,'Accounts'!$B$7:$B$26,D339)&lt;&gt;1,"Check account/currency",IF(OR(I339&lt;0,J339&lt;0,AND(I339&gt;0,J339&gt;0),AND(I339=0,J339=0)),"Check amounts",IF(OR(AND(E339="Income",J339&gt;0),AND(E339="Expense",I339&gt;0),AND(E339="Transfer in",J339&gt;0),AND(E339="Transfer out",I339&gt;0)),"Check type/direction",IF(AND(OR(E339="Transfer in",E339="Transfer out"),M339=""),"Add transfer pair ID",IF(AND(OR(E339="Transfer in",E339="Transfer out"),COUNTIFS($M$7:$M$506,M339,$D$7:$D$506,D339)&lt;&gt;2),"Check transfer pair",IF(AND(E339="Expense",K339=""),"Assign budget fund",IF(AND(E339="Expense",L339=""),"Add receipt / proof",""))))))))))</x:f>
      </x:c>
    </x:row>
    <x:row r="340" ht="24" customHeight="1">
      <x:c r="A340" s="10"/>
      <x:c r="B340" s="5"/>
      <x:c r="C340" s="10"/>
      <x:c r="D340" s="10"/>
      <x:c r="E340" s="10"/>
      <x:c r="F340" s="10"/>
      <x:c r="G340" s="10"/>
      <x:c r="H340" s="10"/>
      <x:c r="I340" s="11"/>
      <x:c r="J340" s="11"/>
      <x:c r="K340" s="10"/>
      <x:c r="L340" s="10"/>
      <x:c r="M340" s="10"/>
      <x:c r="N340" s="10"/>
      <x:c r="O340" s="1" t="str">
        <x:f>IF(COUNTA(A340:N340)=0,"",IF(OR(A340="",B340="",C340="",NOT(ISNUMBER(D340)),NOT(ISNUMBER(E340))),"Complete required fields",IF(COUNTIFS($A$7:$A$506,A340)&gt;1,"Duplicate ID",IF(COUNTIFS('Accounts'!$A$7:$A$26,C340,'Accounts'!$B$7:$B$26,D340)&lt;&gt;1,"Check account/currency",IF(OR(I340&lt;0,J340&lt;0,AND(I340&gt;0,J340&gt;0),AND(I340=0,J340=0)),"Check amounts",IF(OR(AND(E340="Income",J340&gt;0),AND(E340="Expense",I340&gt;0),AND(E340="Transfer in",J340&gt;0),AND(E340="Transfer out",I340&gt;0)),"Check type/direction",IF(AND(OR(E340="Transfer in",E340="Transfer out"),M340=""),"Add transfer pair ID",IF(AND(OR(E340="Transfer in",E340="Transfer out"),COUNTIFS($M$7:$M$506,M340,$D$7:$D$506,D340)&lt;&gt;2),"Check transfer pair",IF(AND(E340="Expense",K340=""),"Assign budget fund",IF(AND(E340="Expense",L340=""),"Add receipt / proof",""))))))))))</x:f>
      </x:c>
    </x:row>
    <x:row r="341" ht="24" customHeight="1">
      <x:c r="A341" s="10"/>
      <x:c r="B341" s="5"/>
      <x:c r="C341" s="10"/>
      <x:c r="D341" s="10"/>
      <x:c r="E341" s="10"/>
      <x:c r="F341" s="10"/>
      <x:c r="G341" s="10"/>
      <x:c r="H341" s="10"/>
      <x:c r="I341" s="11"/>
      <x:c r="J341" s="11"/>
      <x:c r="K341" s="10"/>
      <x:c r="L341" s="10"/>
      <x:c r="M341" s="10"/>
      <x:c r="N341" s="10"/>
      <x:c r="O341" s="1" t="str">
        <x:f>IF(COUNTA(A341:N341)=0,"",IF(OR(A341="",B341="",C341="",NOT(ISNUMBER(D341)),NOT(ISNUMBER(E341))),"Complete required fields",IF(COUNTIFS($A$7:$A$506,A341)&gt;1,"Duplicate ID",IF(COUNTIFS('Accounts'!$A$7:$A$26,C341,'Accounts'!$B$7:$B$26,D341)&lt;&gt;1,"Check account/currency",IF(OR(I341&lt;0,J341&lt;0,AND(I341&gt;0,J341&gt;0),AND(I341=0,J341=0)),"Check amounts",IF(OR(AND(E341="Income",J341&gt;0),AND(E341="Expense",I341&gt;0),AND(E341="Transfer in",J341&gt;0),AND(E341="Transfer out",I341&gt;0)),"Check type/direction",IF(AND(OR(E341="Transfer in",E341="Transfer out"),M341=""),"Add transfer pair ID",IF(AND(OR(E341="Transfer in",E341="Transfer out"),COUNTIFS($M$7:$M$506,M341,$D$7:$D$506,D341)&lt;&gt;2),"Check transfer pair",IF(AND(E341="Expense",K341=""),"Assign budget fund",IF(AND(E341="Expense",L341=""),"Add receipt / proof",""))))))))))</x:f>
      </x:c>
    </x:row>
    <x:row r="342" ht="24" customHeight="1">
      <x:c r="A342" s="10"/>
      <x:c r="B342" s="5"/>
      <x:c r="C342" s="10"/>
      <x:c r="D342" s="10"/>
      <x:c r="E342" s="10"/>
      <x:c r="F342" s="10"/>
      <x:c r="G342" s="10"/>
      <x:c r="H342" s="10"/>
      <x:c r="I342" s="11"/>
      <x:c r="J342" s="11"/>
      <x:c r="K342" s="10"/>
      <x:c r="L342" s="10"/>
      <x:c r="M342" s="10"/>
      <x:c r="N342" s="10"/>
      <x:c r="O342" s="1" t="str">
        <x:f>IF(COUNTA(A342:N342)=0,"",IF(OR(A342="",B342="",C342="",NOT(ISNUMBER(D342)),NOT(ISNUMBER(E342))),"Complete required fields",IF(COUNTIFS($A$7:$A$506,A342)&gt;1,"Duplicate ID",IF(COUNTIFS('Accounts'!$A$7:$A$26,C342,'Accounts'!$B$7:$B$26,D342)&lt;&gt;1,"Check account/currency",IF(OR(I342&lt;0,J342&lt;0,AND(I342&gt;0,J342&gt;0),AND(I342=0,J342=0)),"Check amounts",IF(OR(AND(E342="Income",J342&gt;0),AND(E342="Expense",I342&gt;0),AND(E342="Transfer in",J342&gt;0),AND(E342="Transfer out",I342&gt;0)),"Check type/direction",IF(AND(OR(E342="Transfer in",E342="Transfer out"),M342=""),"Add transfer pair ID",IF(AND(OR(E342="Transfer in",E342="Transfer out"),COUNTIFS($M$7:$M$506,M342,$D$7:$D$506,D342)&lt;&gt;2),"Check transfer pair",IF(AND(E342="Expense",K342=""),"Assign budget fund",IF(AND(E342="Expense",L342=""),"Add receipt / proof",""))))))))))</x:f>
      </x:c>
    </x:row>
    <x:row r="343" ht="24" customHeight="1">
      <x:c r="A343" s="10"/>
      <x:c r="B343" s="5"/>
      <x:c r="C343" s="10"/>
      <x:c r="D343" s="10"/>
      <x:c r="E343" s="10"/>
      <x:c r="F343" s="10"/>
      <x:c r="G343" s="10"/>
      <x:c r="H343" s="10"/>
      <x:c r="I343" s="11"/>
      <x:c r="J343" s="11"/>
      <x:c r="K343" s="10"/>
      <x:c r="L343" s="10"/>
      <x:c r="M343" s="10"/>
      <x:c r="N343" s="10"/>
      <x:c r="O343" s="1" t="str">
        <x:f>IF(COUNTA(A343:N343)=0,"",IF(OR(A343="",B343="",C343="",NOT(ISNUMBER(D343)),NOT(ISNUMBER(E343))),"Complete required fields",IF(COUNTIFS($A$7:$A$506,A343)&gt;1,"Duplicate ID",IF(COUNTIFS('Accounts'!$A$7:$A$26,C343,'Accounts'!$B$7:$B$26,D343)&lt;&gt;1,"Check account/currency",IF(OR(I343&lt;0,J343&lt;0,AND(I343&gt;0,J343&gt;0),AND(I343=0,J343=0)),"Check amounts",IF(OR(AND(E343="Income",J343&gt;0),AND(E343="Expense",I343&gt;0),AND(E343="Transfer in",J343&gt;0),AND(E343="Transfer out",I343&gt;0)),"Check type/direction",IF(AND(OR(E343="Transfer in",E343="Transfer out"),M343=""),"Add transfer pair ID",IF(AND(OR(E343="Transfer in",E343="Transfer out"),COUNTIFS($M$7:$M$506,M343,$D$7:$D$506,D343)&lt;&gt;2),"Check transfer pair",IF(AND(E343="Expense",K343=""),"Assign budget fund",IF(AND(E343="Expense",L343=""),"Add receipt / proof",""))))))))))</x:f>
      </x:c>
    </x:row>
    <x:row r="344" ht="24" customHeight="1">
      <x:c r="A344" s="10"/>
      <x:c r="B344" s="5"/>
      <x:c r="C344" s="10"/>
      <x:c r="D344" s="10"/>
      <x:c r="E344" s="10"/>
      <x:c r="F344" s="10"/>
      <x:c r="G344" s="10"/>
      <x:c r="H344" s="10"/>
      <x:c r="I344" s="11"/>
      <x:c r="J344" s="11"/>
      <x:c r="K344" s="10"/>
      <x:c r="L344" s="10"/>
      <x:c r="M344" s="10"/>
      <x:c r="N344" s="10"/>
      <x:c r="O344" s="1" t="str">
        <x:f>IF(COUNTA(A344:N344)=0,"",IF(OR(A344="",B344="",C344="",NOT(ISNUMBER(D344)),NOT(ISNUMBER(E344))),"Complete required fields",IF(COUNTIFS($A$7:$A$506,A344)&gt;1,"Duplicate ID",IF(COUNTIFS('Accounts'!$A$7:$A$26,C344,'Accounts'!$B$7:$B$26,D344)&lt;&gt;1,"Check account/currency",IF(OR(I344&lt;0,J344&lt;0,AND(I344&gt;0,J344&gt;0),AND(I344=0,J344=0)),"Check amounts",IF(OR(AND(E344="Income",J344&gt;0),AND(E344="Expense",I344&gt;0),AND(E344="Transfer in",J344&gt;0),AND(E344="Transfer out",I344&gt;0)),"Check type/direction",IF(AND(OR(E344="Transfer in",E344="Transfer out"),M344=""),"Add transfer pair ID",IF(AND(OR(E344="Transfer in",E344="Transfer out"),COUNTIFS($M$7:$M$506,M344,$D$7:$D$506,D344)&lt;&gt;2),"Check transfer pair",IF(AND(E344="Expense",K344=""),"Assign budget fund",IF(AND(E344="Expense",L344=""),"Add receipt / proof",""))))))))))</x:f>
      </x:c>
    </x:row>
    <x:row r="345" ht="24" customHeight="1">
      <x:c r="A345" s="10"/>
      <x:c r="B345" s="5"/>
      <x:c r="C345" s="10"/>
      <x:c r="D345" s="10"/>
      <x:c r="E345" s="10"/>
      <x:c r="F345" s="10"/>
      <x:c r="G345" s="10"/>
      <x:c r="H345" s="10"/>
      <x:c r="I345" s="11"/>
      <x:c r="J345" s="11"/>
      <x:c r="K345" s="10"/>
      <x:c r="L345" s="10"/>
      <x:c r="M345" s="10"/>
      <x:c r="N345" s="10"/>
      <x:c r="O345" s="1" t="str">
        <x:f>IF(COUNTA(A345:N345)=0,"",IF(OR(A345="",B345="",C345="",NOT(ISNUMBER(D345)),NOT(ISNUMBER(E345))),"Complete required fields",IF(COUNTIFS($A$7:$A$506,A345)&gt;1,"Duplicate ID",IF(COUNTIFS('Accounts'!$A$7:$A$26,C345,'Accounts'!$B$7:$B$26,D345)&lt;&gt;1,"Check account/currency",IF(OR(I345&lt;0,J345&lt;0,AND(I345&gt;0,J345&gt;0),AND(I345=0,J345=0)),"Check amounts",IF(OR(AND(E345="Income",J345&gt;0),AND(E345="Expense",I345&gt;0),AND(E345="Transfer in",J345&gt;0),AND(E345="Transfer out",I345&gt;0)),"Check type/direction",IF(AND(OR(E345="Transfer in",E345="Transfer out"),M345=""),"Add transfer pair ID",IF(AND(OR(E345="Transfer in",E345="Transfer out"),COUNTIFS($M$7:$M$506,M345,$D$7:$D$506,D345)&lt;&gt;2),"Check transfer pair",IF(AND(E345="Expense",K345=""),"Assign budget fund",IF(AND(E345="Expense",L345=""),"Add receipt / proof",""))))))))))</x:f>
      </x:c>
    </x:row>
    <x:row r="346" ht="24" customHeight="1">
      <x:c r="A346" s="10"/>
      <x:c r="B346" s="5"/>
      <x:c r="C346" s="10"/>
      <x:c r="D346" s="10"/>
      <x:c r="E346" s="10"/>
      <x:c r="F346" s="10"/>
      <x:c r="G346" s="10"/>
      <x:c r="H346" s="10"/>
      <x:c r="I346" s="11"/>
      <x:c r="J346" s="11"/>
      <x:c r="K346" s="10"/>
      <x:c r="L346" s="10"/>
      <x:c r="M346" s="10"/>
      <x:c r="N346" s="10"/>
      <x:c r="O346" s="1" t="str">
        <x:f>IF(COUNTA(A346:N346)=0,"",IF(OR(A346="",B346="",C346="",NOT(ISNUMBER(D346)),NOT(ISNUMBER(E346))),"Complete required fields",IF(COUNTIFS($A$7:$A$506,A346)&gt;1,"Duplicate ID",IF(COUNTIFS('Accounts'!$A$7:$A$26,C346,'Accounts'!$B$7:$B$26,D346)&lt;&gt;1,"Check account/currency",IF(OR(I346&lt;0,J346&lt;0,AND(I346&gt;0,J346&gt;0),AND(I346=0,J346=0)),"Check amounts",IF(OR(AND(E346="Income",J346&gt;0),AND(E346="Expense",I346&gt;0),AND(E346="Transfer in",J346&gt;0),AND(E346="Transfer out",I346&gt;0)),"Check type/direction",IF(AND(OR(E346="Transfer in",E346="Transfer out"),M346=""),"Add transfer pair ID",IF(AND(OR(E346="Transfer in",E346="Transfer out"),COUNTIFS($M$7:$M$506,M346,$D$7:$D$506,D346)&lt;&gt;2),"Check transfer pair",IF(AND(E346="Expense",K346=""),"Assign budget fund",IF(AND(E346="Expense",L346=""),"Add receipt / proof",""))))))))))</x:f>
      </x:c>
    </x:row>
    <x:row r="347" ht="24" customHeight="1">
      <x:c r="A347" s="10"/>
      <x:c r="B347" s="5"/>
      <x:c r="C347" s="10"/>
      <x:c r="D347" s="10"/>
      <x:c r="E347" s="10"/>
      <x:c r="F347" s="10"/>
      <x:c r="G347" s="10"/>
      <x:c r="H347" s="10"/>
      <x:c r="I347" s="11"/>
      <x:c r="J347" s="11"/>
      <x:c r="K347" s="10"/>
      <x:c r="L347" s="10"/>
      <x:c r="M347" s="10"/>
      <x:c r="N347" s="10"/>
      <x:c r="O347" s="1" t="str">
        <x:f>IF(COUNTA(A347:N347)=0,"",IF(OR(A347="",B347="",C347="",NOT(ISNUMBER(D347)),NOT(ISNUMBER(E347))),"Complete required fields",IF(COUNTIFS($A$7:$A$506,A347)&gt;1,"Duplicate ID",IF(COUNTIFS('Accounts'!$A$7:$A$26,C347,'Accounts'!$B$7:$B$26,D347)&lt;&gt;1,"Check account/currency",IF(OR(I347&lt;0,J347&lt;0,AND(I347&gt;0,J347&gt;0),AND(I347=0,J347=0)),"Check amounts",IF(OR(AND(E347="Income",J347&gt;0),AND(E347="Expense",I347&gt;0),AND(E347="Transfer in",J347&gt;0),AND(E347="Transfer out",I347&gt;0)),"Check type/direction",IF(AND(OR(E347="Transfer in",E347="Transfer out"),M347=""),"Add transfer pair ID",IF(AND(OR(E347="Transfer in",E347="Transfer out"),COUNTIFS($M$7:$M$506,M347,$D$7:$D$506,D347)&lt;&gt;2),"Check transfer pair",IF(AND(E347="Expense",K347=""),"Assign budget fund",IF(AND(E347="Expense",L347=""),"Add receipt / proof",""))))))))))</x:f>
      </x:c>
    </x:row>
    <x:row r="348" ht="24" customHeight="1">
      <x:c r="A348" s="10"/>
      <x:c r="B348" s="5"/>
      <x:c r="C348" s="10"/>
      <x:c r="D348" s="10"/>
      <x:c r="E348" s="10"/>
      <x:c r="F348" s="10"/>
      <x:c r="G348" s="10"/>
      <x:c r="H348" s="10"/>
      <x:c r="I348" s="11"/>
      <x:c r="J348" s="11"/>
      <x:c r="K348" s="10"/>
      <x:c r="L348" s="10"/>
      <x:c r="M348" s="10"/>
      <x:c r="N348" s="10"/>
      <x:c r="O348" s="1" t="str">
        <x:f>IF(COUNTA(A348:N348)=0,"",IF(OR(A348="",B348="",C348="",NOT(ISNUMBER(D348)),NOT(ISNUMBER(E348))),"Complete required fields",IF(COUNTIFS($A$7:$A$506,A348)&gt;1,"Duplicate ID",IF(COUNTIFS('Accounts'!$A$7:$A$26,C348,'Accounts'!$B$7:$B$26,D348)&lt;&gt;1,"Check account/currency",IF(OR(I348&lt;0,J348&lt;0,AND(I348&gt;0,J348&gt;0),AND(I348=0,J348=0)),"Check amounts",IF(OR(AND(E348="Income",J348&gt;0),AND(E348="Expense",I348&gt;0),AND(E348="Transfer in",J348&gt;0),AND(E348="Transfer out",I348&gt;0)),"Check type/direction",IF(AND(OR(E348="Transfer in",E348="Transfer out"),M348=""),"Add transfer pair ID",IF(AND(OR(E348="Transfer in",E348="Transfer out"),COUNTIFS($M$7:$M$506,M348,$D$7:$D$506,D348)&lt;&gt;2),"Check transfer pair",IF(AND(E348="Expense",K348=""),"Assign budget fund",IF(AND(E348="Expense",L348=""),"Add receipt / proof",""))))))))))</x:f>
      </x:c>
    </x:row>
    <x:row r="349" ht="24" customHeight="1">
      <x:c r="A349" s="10"/>
      <x:c r="B349" s="5"/>
      <x:c r="C349" s="10"/>
      <x:c r="D349" s="10"/>
      <x:c r="E349" s="10"/>
      <x:c r="F349" s="10"/>
      <x:c r="G349" s="10"/>
      <x:c r="H349" s="10"/>
      <x:c r="I349" s="11"/>
      <x:c r="J349" s="11"/>
      <x:c r="K349" s="10"/>
      <x:c r="L349" s="10"/>
      <x:c r="M349" s="10"/>
      <x:c r="N349" s="10"/>
      <x:c r="O349" s="1" t="str">
        <x:f>IF(COUNTA(A349:N349)=0,"",IF(OR(A349="",B349="",C349="",NOT(ISNUMBER(D349)),NOT(ISNUMBER(E349))),"Complete required fields",IF(COUNTIFS($A$7:$A$506,A349)&gt;1,"Duplicate ID",IF(COUNTIFS('Accounts'!$A$7:$A$26,C349,'Accounts'!$B$7:$B$26,D349)&lt;&gt;1,"Check account/currency",IF(OR(I349&lt;0,J349&lt;0,AND(I349&gt;0,J349&gt;0),AND(I349=0,J349=0)),"Check amounts",IF(OR(AND(E349="Income",J349&gt;0),AND(E349="Expense",I349&gt;0),AND(E349="Transfer in",J349&gt;0),AND(E349="Transfer out",I349&gt;0)),"Check type/direction",IF(AND(OR(E349="Transfer in",E349="Transfer out"),M349=""),"Add transfer pair ID",IF(AND(OR(E349="Transfer in",E349="Transfer out"),COUNTIFS($M$7:$M$506,M349,$D$7:$D$506,D349)&lt;&gt;2),"Check transfer pair",IF(AND(E349="Expense",K349=""),"Assign budget fund",IF(AND(E349="Expense",L349=""),"Add receipt / proof",""))))))))))</x:f>
      </x:c>
    </x:row>
    <x:row r="350" ht="24" customHeight="1">
      <x:c r="A350" s="10"/>
      <x:c r="B350" s="5"/>
      <x:c r="C350" s="10"/>
      <x:c r="D350" s="10"/>
      <x:c r="E350" s="10"/>
      <x:c r="F350" s="10"/>
      <x:c r="G350" s="10"/>
      <x:c r="H350" s="10"/>
      <x:c r="I350" s="11"/>
      <x:c r="J350" s="11"/>
      <x:c r="K350" s="10"/>
      <x:c r="L350" s="10"/>
      <x:c r="M350" s="10"/>
      <x:c r="N350" s="10"/>
      <x:c r="O350" s="1" t="str">
        <x:f>IF(COUNTA(A350:N350)=0,"",IF(OR(A350="",B350="",C350="",NOT(ISNUMBER(D350)),NOT(ISNUMBER(E350))),"Complete required fields",IF(COUNTIFS($A$7:$A$506,A350)&gt;1,"Duplicate ID",IF(COUNTIFS('Accounts'!$A$7:$A$26,C350,'Accounts'!$B$7:$B$26,D350)&lt;&gt;1,"Check account/currency",IF(OR(I350&lt;0,J350&lt;0,AND(I350&gt;0,J350&gt;0),AND(I350=0,J350=0)),"Check amounts",IF(OR(AND(E350="Income",J350&gt;0),AND(E350="Expense",I350&gt;0),AND(E350="Transfer in",J350&gt;0),AND(E350="Transfer out",I350&gt;0)),"Check type/direction",IF(AND(OR(E350="Transfer in",E350="Transfer out"),M350=""),"Add transfer pair ID",IF(AND(OR(E350="Transfer in",E350="Transfer out"),COUNTIFS($M$7:$M$506,M350,$D$7:$D$506,D350)&lt;&gt;2),"Check transfer pair",IF(AND(E350="Expense",K350=""),"Assign budget fund",IF(AND(E350="Expense",L350=""),"Add receipt / proof",""))))))))))</x:f>
      </x:c>
    </x:row>
    <x:row r="351" ht="24" customHeight="1">
      <x:c r="A351" s="10"/>
      <x:c r="B351" s="5"/>
      <x:c r="C351" s="10"/>
      <x:c r="D351" s="10"/>
      <x:c r="E351" s="10"/>
      <x:c r="F351" s="10"/>
      <x:c r="G351" s="10"/>
      <x:c r="H351" s="10"/>
      <x:c r="I351" s="11"/>
      <x:c r="J351" s="11"/>
      <x:c r="K351" s="10"/>
      <x:c r="L351" s="10"/>
      <x:c r="M351" s="10"/>
      <x:c r="N351" s="10"/>
      <x:c r="O351" s="1" t="str">
        <x:f>IF(COUNTA(A351:N351)=0,"",IF(OR(A351="",B351="",C351="",NOT(ISNUMBER(D351)),NOT(ISNUMBER(E351))),"Complete required fields",IF(COUNTIFS($A$7:$A$506,A351)&gt;1,"Duplicate ID",IF(COUNTIFS('Accounts'!$A$7:$A$26,C351,'Accounts'!$B$7:$B$26,D351)&lt;&gt;1,"Check account/currency",IF(OR(I351&lt;0,J351&lt;0,AND(I351&gt;0,J351&gt;0),AND(I351=0,J351=0)),"Check amounts",IF(OR(AND(E351="Income",J351&gt;0),AND(E351="Expense",I351&gt;0),AND(E351="Transfer in",J351&gt;0),AND(E351="Transfer out",I351&gt;0)),"Check type/direction",IF(AND(OR(E351="Transfer in",E351="Transfer out"),M351=""),"Add transfer pair ID",IF(AND(OR(E351="Transfer in",E351="Transfer out"),COUNTIFS($M$7:$M$506,M351,$D$7:$D$506,D351)&lt;&gt;2),"Check transfer pair",IF(AND(E351="Expense",K351=""),"Assign budget fund",IF(AND(E351="Expense",L351=""),"Add receipt / proof",""))))))))))</x:f>
      </x:c>
    </x:row>
    <x:row r="352" ht="24" customHeight="1">
      <x:c r="A352" s="10"/>
      <x:c r="B352" s="5"/>
      <x:c r="C352" s="10"/>
      <x:c r="D352" s="10"/>
      <x:c r="E352" s="10"/>
      <x:c r="F352" s="10"/>
      <x:c r="G352" s="10"/>
      <x:c r="H352" s="10"/>
      <x:c r="I352" s="11"/>
      <x:c r="J352" s="11"/>
      <x:c r="K352" s="10"/>
      <x:c r="L352" s="10"/>
      <x:c r="M352" s="10"/>
      <x:c r="N352" s="10"/>
      <x:c r="O352" s="1" t="str">
        <x:f>IF(COUNTA(A352:N352)=0,"",IF(OR(A352="",B352="",C352="",NOT(ISNUMBER(D352)),NOT(ISNUMBER(E352))),"Complete required fields",IF(COUNTIFS($A$7:$A$506,A352)&gt;1,"Duplicate ID",IF(COUNTIFS('Accounts'!$A$7:$A$26,C352,'Accounts'!$B$7:$B$26,D352)&lt;&gt;1,"Check account/currency",IF(OR(I352&lt;0,J352&lt;0,AND(I352&gt;0,J352&gt;0),AND(I352=0,J352=0)),"Check amounts",IF(OR(AND(E352="Income",J352&gt;0),AND(E352="Expense",I352&gt;0),AND(E352="Transfer in",J352&gt;0),AND(E352="Transfer out",I352&gt;0)),"Check type/direction",IF(AND(OR(E352="Transfer in",E352="Transfer out"),M352=""),"Add transfer pair ID",IF(AND(OR(E352="Transfer in",E352="Transfer out"),COUNTIFS($M$7:$M$506,M352,$D$7:$D$506,D352)&lt;&gt;2),"Check transfer pair",IF(AND(E352="Expense",K352=""),"Assign budget fund",IF(AND(E352="Expense",L352=""),"Add receipt / proof",""))))))))))</x:f>
      </x:c>
    </x:row>
    <x:row r="353" ht="24" customHeight="1">
      <x:c r="A353" s="10"/>
      <x:c r="B353" s="5"/>
      <x:c r="C353" s="10"/>
      <x:c r="D353" s="10"/>
      <x:c r="E353" s="10"/>
      <x:c r="F353" s="10"/>
      <x:c r="G353" s="10"/>
      <x:c r="H353" s="10"/>
      <x:c r="I353" s="11"/>
      <x:c r="J353" s="11"/>
      <x:c r="K353" s="10"/>
      <x:c r="L353" s="10"/>
      <x:c r="M353" s="10"/>
      <x:c r="N353" s="10"/>
      <x:c r="O353" s="1" t="str">
        <x:f>IF(COUNTA(A353:N353)=0,"",IF(OR(A353="",B353="",C353="",NOT(ISNUMBER(D353)),NOT(ISNUMBER(E353))),"Complete required fields",IF(COUNTIFS($A$7:$A$506,A353)&gt;1,"Duplicate ID",IF(COUNTIFS('Accounts'!$A$7:$A$26,C353,'Accounts'!$B$7:$B$26,D353)&lt;&gt;1,"Check account/currency",IF(OR(I353&lt;0,J353&lt;0,AND(I353&gt;0,J353&gt;0),AND(I353=0,J353=0)),"Check amounts",IF(OR(AND(E353="Income",J353&gt;0),AND(E353="Expense",I353&gt;0),AND(E353="Transfer in",J353&gt;0),AND(E353="Transfer out",I353&gt;0)),"Check type/direction",IF(AND(OR(E353="Transfer in",E353="Transfer out"),M353=""),"Add transfer pair ID",IF(AND(OR(E353="Transfer in",E353="Transfer out"),COUNTIFS($M$7:$M$506,M353,$D$7:$D$506,D353)&lt;&gt;2),"Check transfer pair",IF(AND(E353="Expense",K353=""),"Assign budget fund",IF(AND(E353="Expense",L353=""),"Add receipt / proof",""))))))))))</x:f>
      </x:c>
    </x:row>
    <x:row r="354" ht="24" customHeight="1">
      <x:c r="A354" s="10"/>
      <x:c r="B354" s="5"/>
      <x:c r="C354" s="10"/>
      <x:c r="D354" s="10"/>
      <x:c r="E354" s="10"/>
      <x:c r="F354" s="10"/>
      <x:c r="G354" s="10"/>
      <x:c r="H354" s="10"/>
      <x:c r="I354" s="11"/>
      <x:c r="J354" s="11"/>
      <x:c r="K354" s="10"/>
      <x:c r="L354" s="10"/>
      <x:c r="M354" s="10"/>
      <x:c r="N354" s="10"/>
      <x:c r="O354" s="1" t="str">
        <x:f>IF(COUNTA(A354:N354)=0,"",IF(OR(A354="",B354="",C354="",NOT(ISNUMBER(D354)),NOT(ISNUMBER(E354))),"Complete required fields",IF(COUNTIFS($A$7:$A$506,A354)&gt;1,"Duplicate ID",IF(COUNTIFS('Accounts'!$A$7:$A$26,C354,'Accounts'!$B$7:$B$26,D354)&lt;&gt;1,"Check account/currency",IF(OR(I354&lt;0,J354&lt;0,AND(I354&gt;0,J354&gt;0),AND(I354=0,J354=0)),"Check amounts",IF(OR(AND(E354="Income",J354&gt;0),AND(E354="Expense",I354&gt;0),AND(E354="Transfer in",J354&gt;0),AND(E354="Transfer out",I354&gt;0)),"Check type/direction",IF(AND(OR(E354="Transfer in",E354="Transfer out"),M354=""),"Add transfer pair ID",IF(AND(OR(E354="Transfer in",E354="Transfer out"),COUNTIFS($M$7:$M$506,M354,$D$7:$D$506,D354)&lt;&gt;2),"Check transfer pair",IF(AND(E354="Expense",K354=""),"Assign budget fund",IF(AND(E354="Expense",L354=""),"Add receipt / proof",""))))))))))</x:f>
      </x:c>
    </x:row>
    <x:row r="355" ht="24" customHeight="1">
      <x:c r="A355" s="10"/>
      <x:c r="B355" s="5"/>
      <x:c r="C355" s="10"/>
      <x:c r="D355" s="10"/>
      <x:c r="E355" s="10"/>
      <x:c r="F355" s="10"/>
      <x:c r="G355" s="10"/>
      <x:c r="H355" s="10"/>
      <x:c r="I355" s="11"/>
      <x:c r="J355" s="11"/>
      <x:c r="K355" s="10"/>
      <x:c r="L355" s="10"/>
      <x:c r="M355" s="10"/>
      <x:c r="N355" s="10"/>
      <x:c r="O355" s="1" t="str">
        <x:f>IF(COUNTA(A355:N355)=0,"",IF(OR(A355="",B355="",C355="",NOT(ISNUMBER(D355)),NOT(ISNUMBER(E355))),"Complete required fields",IF(COUNTIFS($A$7:$A$506,A355)&gt;1,"Duplicate ID",IF(COUNTIFS('Accounts'!$A$7:$A$26,C355,'Accounts'!$B$7:$B$26,D355)&lt;&gt;1,"Check account/currency",IF(OR(I355&lt;0,J355&lt;0,AND(I355&gt;0,J355&gt;0),AND(I355=0,J355=0)),"Check amounts",IF(OR(AND(E355="Income",J355&gt;0),AND(E355="Expense",I355&gt;0),AND(E355="Transfer in",J355&gt;0),AND(E355="Transfer out",I355&gt;0)),"Check type/direction",IF(AND(OR(E355="Transfer in",E355="Transfer out"),M355=""),"Add transfer pair ID",IF(AND(OR(E355="Transfer in",E355="Transfer out"),COUNTIFS($M$7:$M$506,M355,$D$7:$D$506,D355)&lt;&gt;2),"Check transfer pair",IF(AND(E355="Expense",K355=""),"Assign budget fund",IF(AND(E355="Expense",L355=""),"Add receipt / proof",""))))))))))</x:f>
      </x:c>
    </x:row>
    <x:row r="356" ht="24" customHeight="1">
      <x:c r="A356" s="10"/>
      <x:c r="B356" s="5"/>
      <x:c r="C356" s="10"/>
      <x:c r="D356" s="10"/>
      <x:c r="E356" s="10"/>
      <x:c r="F356" s="10"/>
      <x:c r="G356" s="10"/>
      <x:c r="H356" s="10"/>
      <x:c r="I356" s="11"/>
      <x:c r="J356" s="11"/>
      <x:c r="K356" s="10"/>
      <x:c r="L356" s="10"/>
      <x:c r="M356" s="10"/>
      <x:c r="N356" s="10"/>
      <x:c r="O356" s="1" t="str">
        <x:f>IF(COUNTA(A356:N356)=0,"",IF(OR(A356="",B356="",C356="",NOT(ISNUMBER(D356)),NOT(ISNUMBER(E356))),"Complete required fields",IF(COUNTIFS($A$7:$A$506,A356)&gt;1,"Duplicate ID",IF(COUNTIFS('Accounts'!$A$7:$A$26,C356,'Accounts'!$B$7:$B$26,D356)&lt;&gt;1,"Check account/currency",IF(OR(I356&lt;0,J356&lt;0,AND(I356&gt;0,J356&gt;0),AND(I356=0,J356=0)),"Check amounts",IF(OR(AND(E356="Income",J356&gt;0),AND(E356="Expense",I356&gt;0),AND(E356="Transfer in",J356&gt;0),AND(E356="Transfer out",I356&gt;0)),"Check type/direction",IF(AND(OR(E356="Transfer in",E356="Transfer out"),M356=""),"Add transfer pair ID",IF(AND(OR(E356="Transfer in",E356="Transfer out"),COUNTIFS($M$7:$M$506,M356,$D$7:$D$506,D356)&lt;&gt;2),"Check transfer pair",IF(AND(E356="Expense",K356=""),"Assign budget fund",IF(AND(E356="Expense",L356=""),"Add receipt / proof",""))))))))))</x:f>
      </x:c>
    </x:row>
    <x:row r="357" ht="24" customHeight="1">
      <x:c r="A357" s="10"/>
      <x:c r="B357" s="5"/>
      <x:c r="C357" s="10"/>
      <x:c r="D357" s="10"/>
      <x:c r="E357" s="10"/>
      <x:c r="F357" s="10"/>
      <x:c r="G357" s="10"/>
      <x:c r="H357" s="10"/>
      <x:c r="I357" s="11"/>
      <x:c r="J357" s="11"/>
      <x:c r="K357" s="10"/>
      <x:c r="L357" s="10"/>
      <x:c r="M357" s="10"/>
      <x:c r="N357" s="10"/>
      <x:c r="O357" s="1" t="str">
        <x:f>IF(COUNTA(A357:N357)=0,"",IF(OR(A357="",B357="",C357="",NOT(ISNUMBER(D357)),NOT(ISNUMBER(E357))),"Complete required fields",IF(COUNTIFS($A$7:$A$506,A357)&gt;1,"Duplicate ID",IF(COUNTIFS('Accounts'!$A$7:$A$26,C357,'Accounts'!$B$7:$B$26,D357)&lt;&gt;1,"Check account/currency",IF(OR(I357&lt;0,J357&lt;0,AND(I357&gt;0,J357&gt;0),AND(I357=0,J357=0)),"Check amounts",IF(OR(AND(E357="Income",J357&gt;0),AND(E357="Expense",I357&gt;0),AND(E357="Transfer in",J357&gt;0),AND(E357="Transfer out",I357&gt;0)),"Check type/direction",IF(AND(OR(E357="Transfer in",E357="Transfer out"),M357=""),"Add transfer pair ID",IF(AND(OR(E357="Transfer in",E357="Transfer out"),COUNTIFS($M$7:$M$506,M357,$D$7:$D$506,D357)&lt;&gt;2),"Check transfer pair",IF(AND(E357="Expense",K357=""),"Assign budget fund",IF(AND(E357="Expense",L357=""),"Add receipt / proof",""))))))))))</x:f>
      </x:c>
    </x:row>
    <x:row r="358" ht="24" customHeight="1">
      <x:c r="A358" s="10"/>
      <x:c r="B358" s="5"/>
      <x:c r="C358" s="10"/>
      <x:c r="D358" s="10"/>
      <x:c r="E358" s="10"/>
      <x:c r="F358" s="10"/>
      <x:c r="G358" s="10"/>
      <x:c r="H358" s="10"/>
      <x:c r="I358" s="11"/>
      <x:c r="J358" s="11"/>
      <x:c r="K358" s="10"/>
      <x:c r="L358" s="10"/>
      <x:c r="M358" s="10"/>
      <x:c r="N358" s="10"/>
      <x:c r="O358" s="1" t="str">
        <x:f>IF(COUNTA(A358:N358)=0,"",IF(OR(A358="",B358="",C358="",NOT(ISNUMBER(D358)),NOT(ISNUMBER(E358))),"Complete required fields",IF(COUNTIFS($A$7:$A$506,A358)&gt;1,"Duplicate ID",IF(COUNTIFS('Accounts'!$A$7:$A$26,C358,'Accounts'!$B$7:$B$26,D358)&lt;&gt;1,"Check account/currency",IF(OR(I358&lt;0,J358&lt;0,AND(I358&gt;0,J358&gt;0),AND(I358=0,J358=0)),"Check amounts",IF(OR(AND(E358="Income",J358&gt;0),AND(E358="Expense",I358&gt;0),AND(E358="Transfer in",J358&gt;0),AND(E358="Transfer out",I358&gt;0)),"Check type/direction",IF(AND(OR(E358="Transfer in",E358="Transfer out"),M358=""),"Add transfer pair ID",IF(AND(OR(E358="Transfer in",E358="Transfer out"),COUNTIFS($M$7:$M$506,M358,$D$7:$D$506,D358)&lt;&gt;2),"Check transfer pair",IF(AND(E358="Expense",K358=""),"Assign budget fund",IF(AND(E358="Expense",L358=""),"Add receipt / proof",""))))))))))</x:f>
      </x:c>
    </x:row>
    <x:row r="359" ht="24" customHeight="1">
      <x:c r="A359" s="10"/>
      <x:c r="B359" s="5"/>
      <x:c r="C359" s="10"/>
      <x:c r="D359" s="10"/>
      <x:c r="E359" s="10"/>
      <x:c r="F359" s="10"/>
      <x:c r="G359" s="10"/>
      <x:c r="H359" s="10"/>
      <x:c r="I359" s="11"/>
      <x:c r="J359" s="11"/>
      <x:c r="K359" s="10"/>
      <x:c r="L359" s="10"/>
      <x:c r="M359" s="10"/>
      <x:c r="N359" s="10"/>
      <x:c r="O359" s="1" t="str">
        <x:f>IF(COUNTA(A359:N359)=0,"",IF(OR(A359="",B359="",C359="",NOT(ISNUMBER(D359)),NOT(ISNUMBER(E359))),"Complete required fields",IF(COUNTIFS($A$7:$A$506,A359)&gt;1,"Duplicate ID",IF(COUNTIFS('Accounts'!$A$7:$A$26,C359,'Accounts'!$B$7:$B$26,D359)&lt;&gt;1,"Check account/currency",IF(OR(I359&lt;0,J359&lt;0,AND(I359&gt;0,J359&gt;0),AND(I359=0,J359=0)),"Check amounts",IF(OR(AND(E359="Income",J359&gt;0),AND(E359="Expense",I359&gt;0),AND(E359="Transfer in",J359&gt;0),AND(E359="Transfer out",I359&gt;0)),"Check type/direction",IF(AND(OR(E359="Transfer in",E359="Transfer out"),M359=""),"Add transfer pair ID",IF(AND(OR(E359="Transfer in",E359="Transfer out"),COUNTIFS($M$7:$M$506,M359,$D$7:$D$506,D359)&lt;&gt;2),"Check transfer pair",IF(AND(E359="Expense",K359=""),"Assign budget fund",IF(AND(E359="Expense",L359=""),"Add receipt / proof",""))))))))))</x:f>
      </x:c>
    </x:row>
    <x:row r="360" ht="24" customHeight="1">
      <x:c r="A360" s="10"/>
      <x:c r="B360" s="5"/>
      <x:c r="C360" s="10"/>
      <x:c r="D360" s="10"/>
      <x:c r="E360" s="10"/>
      <x:c r="F360" s="10"/>
      <x:c r="G360" s="10"/>
      <x:c r="H360" s="10"/>
      <x:c r="I360" s="11"/>
      <x:c r="J360" s="11"/>
      <x:c r="K360" s="10"/>
      <x:c r="L360" s="10"/>
      <x:c r="M360" s="10"/>
      <x:c r="N360" s="10"/>
      <x:c r="O360" s="1" t="str">
        <x:f>IF(COUNTA(A360:N360)=0,"",IF(OR(A360="",B360="",C360="",NOT(ISNUMBER(D360)),NOT(ISNUMBER(E360))),"Complete required fields",IF(COUNTIFS($A$7:$A$506,A360)&gt;1,"Duplicate ID",IF(COUNTIFS('Accounts'!$A$7:$A$26,C360,'Accounts'!$B$7:$B$26,D360)&lt;&gt;1,"Check account/currency",IF(OR(I360&lt;0,J360&lt;0,AND(I360&gt;0,J360&gt;0),AND(I360=0,J360=0)),"Check amounts",IF(OR(AND(E360="Income",J360&gt;0),AND(E360="Expense",I360&gt;0),AND(E360="Transfer in",J360&gt;0),AND(E360="Transfer out",I360&gt;0)),"Check type/direction",IF(AND(OR(E360="Transfer in",E360="Transfer out"),M360=""),"Add transfer pair ID",IF(AND(OR(E360="Transfer in",E360="Transfer out"),COUNTIFS($M$7:$M$506,M360,$D$7:$D$506,D360)&lt;&gt;2),"Check transfer pair",IF(AND(E360="Expense",K360=""),"Assign budget fund",IF(AND(E360="Expense",L360=""),"Add receipt / proof",""))))))))))</x:f>
      </x:c>
    </x:row>
    <x:row r="361" ht="24" customHeight="1">
      <x:c r="A361" s="10"/>
      <x:c r="B361" s="5"/>
      <x:c r="C361" s="10"/>
      <x:c r="D361" s="10"/>
      <x:c r="E361" s="10"/>
      <x:c r="F361" s="10"/>
      <x:c r="G361" s="10"/>
      <x:c r="H361" s="10"/>
      <x:c r="I361" s="11"/>
      <x:c r="J361" s="11"/>
      <x:c r="K361" s="10"/>
      <x:c r="L361" s="10"/>
      <x:c r="M361" s="10"/>
      <x:c r="N361" s="10"/>
      <x:c r="O361" s="1" t="str">
        <x:f>IF(COUNTA(A361:N361)=0,"",IF(OR(A361="",B361="",C361="",NOT(ISNUMBER(D361)),NOT(ISNUMBER(E361))),"Complete required fields",IF(COUNTIFS($A$7:$A$506,A361)&gt;1,"Duplicate ID",IF(COUNTIFS('Accounts'!$A$7:$A$26,C361,'Accounts'!$B$7:$B$26,D361)&lt;&gt;1,"Check account/currency",IF(OR(I361&lt;0,J361&lt;0,AND(I361&gt;0,J361&gt;0),AND(I361=0,J361=0)),"Check amounts",IF(OR(AND(E361="Income",J361&gt;0),AND(E361="Expense",I361&gt;0),AND(E361="Transfer in",J361&gt;0),AND(E361="Transfer out",I361&gt;0)),"Check type/direction",IF(AND(OR(E361="Transfer in",E361="Transfer out"),M361=""),"Add transfer pair ID",IF(AND(OR(E361="Transfer in",E361="Transfer out"),COUNTIFS($M$7:$M$506,M361,$D$7:$D$506,D361)&lt;&gt;2),"Check transfer pair",IF(AND(E361="Expense",K361=""),"Assign budget fund",IF(AND(E361="Expense",L361=""),"Add receipt / proof",""))))))))))</x:f>
      </x:c>
    </x:row>
    <x:row r="362" ht="24" customHeight="1">
      <x:c r="A362" s="10"/>
      <x:c r="B362" s="5"/>
      <x:c r="C362" s="10"/>
      <x:c r="D362" s="10"/>
      <x:c r="E362" s="10"/>
      <x:c r="F362" s="10"/>
      <x:c r="G362" s="10"/>
      <x:c r="H362" s="10"/>
      <x:c r="I362" s="11"/>
      <x:c r="J362" s="11"/>
      <x:c r="K362" s="10"/>
      <x:c r="L362" s="10"/>
      <x:c r="M362" s="10"/>
      <x:c r="N362" s="10"/>
      <x:c r="O362" s="1" t="str">
        <x:f>IF(COUNTA(A362:N362)=0,"",IF(OR(A362="",B362="",C362="",NOT(ISNUMBER(D362)),NOT(ISNUMBER(E362))),"Complete required fields",IF(COUNTIFS($A$7:$A$506,A362)&gt;1,"Duplicate ID",IF(COUNTIFS('Accounts'!$A$7:$A$26,C362,'Accounts'!$B$7:$B$26,D362)&lt;&gt;1,"Check account/currency",IF(OR(I362&lt;0,J362&lt;0,AND(I362&gt;0,J362&gt;0),AND(I362=0,J362=0)),"Check amounts",IF(OR(AND(E362="Income",J362&gt;0),AND(E362="Expense",I362&gt;0),AND(E362="Transfer in",J362&gt;0),AND(E362="Transfer out",I362&gt;0)),"Check type/direction",IF(AND(OR(E362="Transfer in",E362="Transfer out"),M362=""),"Add transfer pair ID",IF(AND(OR(E362="Transfer in",E362="Transfer out"),COUNTIFS($M$7:$M$506,M362,$D$7:$D$506,D362)&lt;&gt;2),"Check transfer pair",IF(AND(E362="Expense",K362=""),"Assign budget fund",IF(AND(E362="Expense",L362=""),"Add receipt / proof",""))))))))))</x:f>
      </x:c>
    </x:row>
    <x:row r="363" ht="24" customHeight="1">
      <x:c r="A363" s="10"/>
      <x:c r="B363" s="5"/>
      <x:c r="C363" s="10"/>
      <x:c r="D363" s="10"/>
      <x:c r="E363" s="10"/>
      <x:c r="F363" s="10"/>
      <x:c r="G363" s="10"/>
      <x:c r="H363" s="10"/>
      <x:c r="I363" s="11"/>
      <x:c r="J363" s="11"/>
      <x:c r="K363" s="10"/>
      <x:c r="L363" s="10"/>
      <x:c r="M363" s="10"/>
      <x:c r="N363" s="10"/>
      <x:c r="O363" s="1" t="str">
        <x:f>IF(COUNTA(A363:N363)=0,"",IF(OR(A363="",B363="",C363="",NOT(ISNUMBER(D363)),NOT(ISNUMBER(E363))),"Complete required fields",IF(COUNTIFS($A$7:$A$506,A363)&gt;1,"Duplicate ID",IF(COUNTIFS('Accounts'!$A$7:$A$26,C363,'Accounts'!$B$7:$B$26,D363)&lt;&gt;1,"Check account/currency",IF(OR(I363&lt;0,J363&lt;0,AND(I363&gt;0,J363&gt;0),AND(I363=0,J363=0)),"Check amounts",IF(OR(AND(E363="Income",J363&gt;0),AND(E363="Expense",I363&gt;0),AND(E363="Transfer in",J363&gt;0),AND(E363="Transfer out",I363&gt;0)),"Check type/direction",IF(AND(OR(E363="Transfer in",E363="Transfer out"),M363=""),"Add transfer pair ID",IF(AND(OR(E363="Transfer in",E363="Transfer out"),COUNTIFS($M$7:$M$506,M363,$D$7:$D$506,D363)&lt;&gt;2),"Check transfer pair",IF(AND(E363="Expense",K363=""),"Assign budget fund",IF(AND(E363="Expense",L363=""),"Add receipt / proof",""))))))))))</x:f>
      </x:c>
    </x:row>
    <x:row r="364" ht="24" customHeight="1">
      <x:c r="A364" s="10"/>
      <x:c r="B364" s="5"/>
      <x:c r="C364" s="10"/>
      <x:c r="D364" s="10"/>
      <x:c r="E364" s="10"/>
      <x:c r="F364" s="10"/>
      <x:c r="G364" s="10"/>
      <x:c r="H364" s="10"/>
      <x:c r="I364" s="11"/>
      <x:c r="J364" s="11"/>
      <x:c r="K364" s="10"/>
      <x:c r="L364" s="10"/>
      <x:c r="M364" s="10"/>
      <x:c r="N364" s="10"/>
      <x:c r="O364" s="1" t="str">
        <x:f>IF(COUNTA(A364:N364)=0,"",IF(OR(A364="",B364="",C364="",NOT(ISNUMBER(D364)),NOT(ISNUMBER(E364))),"Complete required fields",IF(COUNTIFS($A$7:$A$506,A364)&gt;1,"Duplicate ID",IF(COUNTIFS('Accounts'!$A$7:$A$26,C364,'Accounts'!$B$7:$B$26,D364)&lt;&gt;1,"Check account/currency",IF(OR(I364&lt;0,J364&lt;0,AND(I364&gt;0,J364&gt;0),AND(I364=0,J364=0)),"Check amounts",IF(OR(AND(E364="Income",J364&gt;0),AND(E364="Expense",I364&gt;0),AND(E364="Transfer in",J364&gt;0),AND(E364="Transfer out",I364&gt;0)),"Check type/direction",IF(AND(OR(E364="Transfer in",E364="Transfer out"),M364=""),"Add transfer pair ID",IF(AND(OR(E364="Transfer in",E364="Transfer out"),COUNTIFS($M$7:$M$506,M364,$D$7:$D$506,D364)&lt;&gt;2),"Check transfer pair",IF(AND(E364="Expense",K364=""),"Assign budget fund",IF(AND(E364="Expense",L364=""),"Add receipt / proof",""))))))))))</x:f>
      </x:c>
    </x:row>
    <x:row r="365" ht="24" customHeight="1">
      <x:c r="A365" s="10"/>
      <x:c r="B365" s="5"/>
      <x:c r="C365" s="10"/>
      <x:c r="D365" s="10"/>
      <x:c r="E365" s="10"/>
      <x:c r="F365" s="10"/>
      <x:c r="G365" s="10"/>
      <x:c r="H365" s="10"/>
      <x:c r="I365" s="11"/>
      <x:c r="J365" s="11"/>
      <x:c r="K365" s="10"/>
      <x:c r="L365" s="10"/>
      <x:c r="M365" s="10"/>
      <x:c r="N365" s="10"/>
      <x:c r="O365" s="1" t="str">
        <x:f>IF(COUNTA(A365:N365)=0,"",IF(OR(A365="",B365="",C365="",NOT(ISNUMBER(D365)),NOT(ISNUMBER(E365))),"Complete required fields",IF(COUNTIFS($A$7:$A$506,A365)&gt;1,"Duplicate ID",IF(COUNTIFS('Accounts'!$A$7:$A$26,C365,'Accounts'!$B$7:$B$26,D365)&lt;&gt;1,"Check account/currency",IF(OR(I365&lt;0,J365&lt;0,AND(I365&gt;0,J365&gt;0),AND(I365=0,J365=0)),"Check amounts",IF(OR(AND(E365="Income",J365&gt;0),AND(E365="Expense",I365&gt;0),AND(E365="Transfer in",J365&gt;0),AND(E365="Transfer out",I365&gt;0)),"Check type/direction",IF(AND(OR(E365="Transfer in",E365="Transfer out"),M365=""),"Add transfer pair ID",IF(AND(OR(E365="Transfer in",E365="Transfer out"),COUNTIFS($M$7:$M$506,M365,$D$7:$D$506,D365)&lt;&gt;2),"Check transfer pair",IF(AND(E365="Expense",K365=""),"Assign budget fund",IF(AND(E365="Expense",L365=""),"Add receipt / proof",""))))))))))</x:f>
      </x:c>
    </x:row>
    <x:row r="366" ht="24" customHeight="1">
      <x:c r="A366" s="10"/>
      <x:c r="B366" s="5"/>
      <x:c r="C366" s="10"/>
      <x:c r="D366" s="10"/>
      <x:c r="E366" s="10"/>
      <x:c r="F366" s="10"/>
      <x:c r="G366" s="10"/>
      <x:c r="H366" s="10"/>
      <x:c r="I366" s="11"/>
      <x:c r="J366" s="11"/>
      <x:c r="K366" s="10"/>
      <x:c r="L366" s="10"/>
      <x:c r="M366" s="10"/>
      <x:c r="N366" s="10"/>
      <x:c r="O366" s="1" t="str">
        <x:f>IF(COUNTA(A366:N366)=0,"",IF(OR(A366="",B366="",C366="",NOT(ISNUMBER(D366)),NOT(ISNUMBER(E366))),"Complete required fields",IF(COUNTIFS($A$7:$A$506,A366)&gt;1,"Duplicate ID",IF(COUNTIFS('Accounts'!$A$7:$A$26,C366,'Accounts'!$B$7:$B$26,D366)&lt;&gt;1,"Check account/currency",IF(OR(I366&lt;0,J366&lt;0,AND(I366&gt;0,J366&gt;0),AND(I366=0,J366=0)),"Check amounts",IF(OR(AND(E366="Income",J366&gt;0),AND(E366="Expense",I366&gt;0),AND(E366="Transfer in",J366&gt;0),AND(E366="Transfer out",I366&gt;0)),"Check type/direction",IF(AND(OR(E366="Transfer in",E366="Transfer out"),M366=""),"Add transfer pair ID",IF(AND(OR(E366="Transfer in",E366="Transfer out"),COUNTIFS($M$7:$M$506,M366,$D$7:$D$506,D366)&lt;&gt;2),"Check transfer pair",IF(AND(E366="Expense",K366=""),"Assign budget fund",IF(AND(E366="Expense",L366=""),"Add receipt / proof",""))))))))))</x:f>
      </x:c>
    </x:row>
    <x:row r="367" ht="24" customHeight="1">
      <x:c r="A367" s="10"/>
      <x:c r="B367" s="5"/>
      <x:c r="C367" s="10"/>
      <x:c r="D367" s="10"/>
      <x:c r="E367" s="10"/>
      <x:c r="F367" s="10"/>
      <x:c r="G367" s="10"/>
      <x:c r="H367" s="10"/>
      <x:c r="I367" s="11"/>
      <x:c r="J367" s="11"/>
      <x:c r="K367" s="10"/>
      <x:c r="L367" s="10"/>
      <x:c r="M367" s="10"/>
      <x:c r="N367" s="10"/>
      <x:c r="O367" s="1" t="str">
        <x:f>IF(COUNTA(A367:N367)=0,"",IF(OR(A367="",B367="",C367="",NOT(ISNUMBER(D367)),NOT(ISNUMBER(E367))),"Complete required fields",IF(COUNTIFS($A$7:$A$506,A367)&gt;1,"Duplicate ID",IF(COUNTIFS('Accounts'!$A$7:$A$26,C367,'Accounts'!$B$7:$B$26,D367)&lt;&gt;1,"Check account/currency",IF(OR(I367&lt;0,J367&lt;0,AND(I367&gt;0,J367&gt;0),AND(I367=0,J367=0)),"Check amounts",IF(OR(AND(E367="Income",J367&gt;0),AND(E367="Expense",I367&gt;0),AND(E367="Transfer in",J367&gt;0),AND(E367="Transfer out",I367&gt;0)),"Check type/direction",IF(AND(OR(E367="Transfer in",E367="Transfer out"),M367=""),"Add transfer pair ID",IF(AND(OR(E367="Transfer in",E367="Transfer out"),COUNTIFS($M$7:$M$506,M367,$D$7:$D$506,D367)&lt;&gt;2),"Check transfer pair",IF(AND(E367="Expense",K367=""),"Assign budget fund",IF(AND(E367="Expense",L367=""),"Add receipt / proof",""))))))))))</x:f>
      </x:c>
    </x:row>
    <x:row r="368" ht="24" customHeight="1">
      <x:c r="A368" s="10"/>
      <x:c r="B368" s="5"/>
      <x:c r="C368" s="10"/>
      <x:c r="D368" s="10"/>
      <x:c r="E368" s="10"/>
      <x:c r="F368" s="10"/>
      <x:c r="G368" s="10"/>
      <x:c r="H368" s="10"/>
      <x:c r="I368" s="11"/>
      <x:c r="J368" s="11"/>
      <x:c r="K368" s="10"/>
      <x:c r="L368" s="10"/>
      <x:c r="M368" s="10"/>
      <x:c r="N368" s="10"/>
      <x:c r="O368" s="1" t="str">
        <x:f>IF(COUNTA(A368:N368)=0,"",IF(OR(A368="",B368="",C368="",NOT(ISNUMBER(D368)),NOT(ISNUMBER(E368))),"Complete required fields",IF(COUNTIFS($A$7:$A$506,A368)&gt;1,"Duplicate ID",IF(COUNTIFS('Accounts'!$A$7:$A$26,C368,'Accounts'!$B$7:$B$26,D368)&lt;&gt;1,"Check account/currency",IF(OR(I368&lt;0,J368&lt;0,AND(I368&gt;0,J368&gt;0),AND(I368=0,J368=0)),"Check amounts",IF(OR(AND(E368="Income",J368&gt;0),AND(E368="Expense",I368&gt;0),AND(E368="Transfer in",J368&gt;0),AND(E368="Transfer out",I368&gt;0)),"Check type/direction",IF(AND(OR(E368="Transfer in",E368="Transfer out"),M368=""),"Add transfer pair ID",IF(AND(OR(E368="Transfer in",E368="Transfer out"),COUNTIFS($M$7:$M$506,M368,$D$7:$D$506,D368)&lt;&gt;2),"Check transfer pair",IF(AND(E368="Expense",K368=""),"Assign budget fund",IF(AND(E368="Expense",L368=""),"Add receipt / proof",""))))))))))</x:f>
      </x:c>
    </x:row>
    <x:row r="369" ht="24" customHeight="1">
      <x:c r="A369" s="10"/>
      <x:c r="B369" s="5"/>
      <x:c r="C369" s="10"/>
      <x:c r="D369" s="10"/>
      <x:c r="E369" s="10"/>
      <x:c r="F369" s="10"/>
      <x:c r="G369" s="10"/>
      <x:c r="H369" s="10"/>
      <x:c r="I369" s="11"/>
      <x:c r="J369" s="11"/>
      <x:c r="K369" s="10"/>
      <x:c r="L369" s="10"/>
      <x:c r="M369" s="10"/>
      <x:c r="N369" s="10"/>
      <x:c r="O369" s="1" t="str">
        <x:f>IF(COUNTA(A369:N369)=0,"",IF(OR(A369="",B369="",C369="",NOT(ISNUMBER(D369)),NOT(ISNUMBER(E369))),"Complete required fields",IF(COUNTIFS($A$7:$A$506,A369)&gt;1,"Duplicate ID",IF(COUNTIFS('Accounts'!$A$7:$A$26,C369,'Accounts'!$B$7:$B$26,D369)&lt;&gt;1,"Check account/currency",IF(OR(I369&lt;0,J369&lt;0,AND(I369&gt;0,J369&gt;0),AND(I369=0,J369=0)),"Check amounts",IF(OR(AND(E369="Income",J369&gt;0),AND(E369="Expense",I369&gt;0),AND(E369="Transfer in",J369&gt;0),AND(E369="Transfer out",I369&gt;0)),"Check type/direction",IF(AND(OR(E369="Transfer in",E369="Transfer out"),M369=""),"Add transfer pair ID",IF(AND(OR(E369="Transfer in",E369="Transfer out"),COUNTIFS($M$7:$M$506,M369,$D$7:$D$506,D369)&lt;&gt;2),"Check transfer pair",IF(AND(E369="Expense",K369=""),"Assign budget fund",IF(AND(E369="Expense",L369=""),"Add receipt / proof",""))))))))))</x:f>
      </x:c>
    </x:row>
    <x:row r="370" ht="24" customHeight="1">
      <x:c r="A370" s="10"/>
      <x:c r="B370" s="5"/>
      <x:c r="C370" s="10"/>
      <x:c r="D370" s="10"/>
      <x:c r="E370" s="10"/>
      <x:c r="F370" s="10"/>
      <x:c r="G370" s="10"/>
      <x:c r="H370" s="10"/>
      <x:c r="I370" s="11"/>
      <x:c r="J370" s="11"/>
      <x:c r="K370" s="10"/>
      <x:c r="L370" s="10"/>
      <x:c r="M370" s="10"/>
      <x:c r="N370" s="10"/>
      <x:c r="O370" s="1" t="str">
        <x:f>IF(COUNTA(A370:N370)=0,"",IF(OR(A370="",B370="",C370="",NOT(ISNUMBER(D370)),NOT(ISNUMBER(E370))),"Complete required fields",IF(COUNTIFS($A$7:$A$506,A370)&gt;1,"Duplicate ID",IF(COUNTIFS('Accounts'!$A$7:$A$26,C370,'Accounts'!$B$7:$B$26,D370)&lt;&gt;1,"Check account/currency",IF(OR(I370&lt;0,J370&lt;0,AND(I370&gt;0,J370&gt;0),AND(I370=0,J370=0)),"Check amounts",IF(OR(AND(E370="Income",J370&gt;0),AND(E370="Expense",I370&gt;0),AND(E370="Transfer in",J370&gt;0),AND(E370="Transfer out",I370&gt;0)),"Check type/direction",IF(AND(OR(E370="Transfer in",E370="Transfer out"),M370=""),"Add transfer pair ID",IF(AND(OR(E370="Transfer in",E370="Transfer out"),COUNTIFS($M$7:$M$506,M370,$D$7:$D$506,D370)&lt;&gt;2),"Check transfer pair",IF(AND(E370="Expense",K370=""),"Assign budget fund",IF(AND(E370="Expense",L370=""),"Add receipt / proof",""))))))))))</x:f>
      </x:c>
    </x:row>
    <x:row r="371" ht="24" customHeight="1">
      <x:c r="A371" s="10"/>
      <x:c r="B371" s="5"/>
      <x:c r="C371" s="10"/>
      <x:c r="D371" s="10"/>
      <x:c r="E371" s="10"/>
      <x:c r="F371" s="10"/>
      <x:c r="G371" s="10"/>
      <x:c r="H371" s="10"/>
      <x:c r="I371" s="11"/>
      <x:c r="J371" s="11"/>
      <x:c r="K371" s="10"/>
      <x:c r="L371" s="10"/>
      <x:c r="M371" s="10"/>
      <x:c r="N371" s="10"/>
      <x:c r="O371" s="1" t="str">
        <x:f>IF(COUNTA(A371:N371)=0,"",IF(OR(A371="",B371="",C371="",NOT(ISNUMBER(D371)),NOT(ISNUMBER(E371))),"Complete required fields",IF(COUNTIFS($A$7:$A$506,A371)&gt;1,"Duplicate ID",IF(COUNTIFS('Accounts'!$A$7:$A$26,C371,'Accounts'!$B$7:$B$26,D371)&lt;&gt;1,"Check account/currency",IF(OR(I371&lt;0,J371&lt;0,AND(I371&gt;0,J371&gt;0),AND(I371=0,J371=0)),"Check amounts",IF(OR(AND(E371="Income",J371&gt;0),AND(E371="Expense",I371&gt;0),AND(E371="Transfer in",J371&gt;0),AND(E371="Transfer out",I371&gt;0)),"Check type/direction",IF(AND(OR(E371="Transfer in",E371="Transfer out"),M371=""),"Add transfer pair ID",IF(AND(OR(E371="Transfer in",E371="Transfer out"),COUNTIFS($M$7:$M$506,M371,$D$7:$D$506,D371)&lt;&gt;2),"Check transfer pair",IF(AND(E371="Expense",K371=""),"Assign budget fund",IF(AND(E371="Expense",L371=""),"Add receipt / proof",""))))))))))</x:f>
      </x:c>
    </x:row>
    <x:row r="372" ht="24" customHeight="1">
      <x:c r="A372" s="10"/>
      <x:c r="B372" s="5"/>
      <x:c r="C372" s="10"/>
      <x:c r="D372" s="10"/>
      <x:c r="E372" s="10"/>
      <x:c r="F372" s="10"/>
      <x:c r="G372" s="10"/>
      <x:c r="H372" s="10"/>
      <x:c r="I372" s="11"/>
      <x:c r="J372" s="11"/>
      <x:c r="K372" s="10"/>
      <x:c r="L372" s="10"/>
      <x:c r="M372" s="10"/>
      <x:c r="N372" s="10"/>
      <x:c r="O372" s="1" t="str">
        <x:f>IF(COUNTA(A372:N372)=0,"",IF(OR(A372="",B372="",C372="",NOT(ISNUMBER(D372)),NOT(ISNUMBER(E372))),"Complete required fields",IF(COUNTIFS($A$7:$A$506,A372)&gt;1,"Duplicate ID",IF(COUNTIFS('Accounts'!$A$7:$A$26,C372,'Accounts'!$B$7:$B$26,D372)&lt;&gt;1,"Check account/currency",IF(OR(I372&lt;0,J372&lt;0,AND(I372&gt;0,J372&gt;0),AND(I372=0,J372=0)),"Check amounts",IF(OR(AND(E372="Income",J372&gt;0),AND(E372="Expense",I372&gt;0),AND(E372="Transfer in",J372&gt;0),AND(E372="Transfer out",I372&gt;0)),"Check type/direction",IF(AND(OR(E372="Transfer in",E372="Transfer out"),M372=""),"Add transfer pair ID",IF(AND(OR(E372="Transfer in",E372="Transfer out"),COUNTIFS($M$7:$M$506,M372,$D$7:$D$506,D372)&lt;&gt;2),"Check transfer pair",IF(AND(E372="Expense",K372=""),"Assign budget fund",IF(AND(E372="Expense",L372=""),"Add receipt / proof",""))))))))))</x:f>
      </x:c>
    </x:row>
    <x:row r="373" ht="24" customHeight="1">
      <x:c r="A373" s="10"/>
      <x:c r="B373" s="5"/>
      <x:c r="C373" s="10"/>
      <x:c r="D373" s="10"/>
      <x:c r="E373" s="10"/>
      <x:c r="F373" s="10"/>
      <x:c r="G373" s="10"/>
      <x:c r="H373" s="10"/>
      <x:c r="I373" s="11"/>
      <x:c r="J373" s="11"/>
      <x:c r="K373" s="10"/>
      <x:c r="L373" s="10"/>
      <x:c r="M373" s="10"/>
      <x:c r="N373" s="10"/>
      <x:c r="O373" s="1" t="str">
        <x:f>IF(COUNTA(A373:N373)=0,"",IF(OR(A373="",B373="",C373="",NOT(ISNUMBER(D373)),NOT(ISNUMBER(E373))),"Complete required fields",IF(COUNTIFS($A$7:$A$506,A373)&gt;1,"Duplicate ID",IF(COUNTIFS('Accounts'!$A$7:$A$26,C373,'Accounts'!$B$7:$B$26,D373)&lt;&gt;1,"Check account/currency",IF(OR(I373&lt;0,J373&lt;0,AND(I373&gt;0,J373&gt;0),AND(I373=0,J373=0)),"Check amounts",IF(OR(AND(E373="Income",J373&gt;0),AND(E373="Expense",I373&gt;0),AND(E373="Transfer in",J373&gt;0),AND(E373="Transfer out",I373&gt;0)),"Check type/direction",IF(AND(OR(E373="Transfer in",E373="Transfer out"),M373=""),"Add transfer pair ID",IF(AND(OR(E373="Transfer in",E373="Transfer out"),COUNTIFS($M$7:$M$506,M373,$D$7:$D$506,D373)&lt;&gt;2),"Check transfer pair",IF(AND(E373="Expense",K373=""),"Assign budget fund",IF(AND(E373="Expense",L373=""),"Add receipt / proof",""))))))))))</x:f>
      </x:c>
    </x:row>
    <x:row r="374" ht="24" customHeight="1">
      <x:c r="A374" s="10"/>
      <x:c r="B374" s="5"/>
      <x:c r="C374" s="10"/>
      <x:c r="D374" s="10"/>
      <x:c r="E374" s="10"/>
      <x:c r="F374" s="10"/>
      <x:c r="G374" s="10"/>
      <x:c r="H374" s="10"/>
      <x:c r="I374" s="11"/>
      <x:c r="J374" s="11"/>
      <x:c r="K374" s="10"/>
      <x:c r="L374" s="10"/>
      <x:c r="M374" s="10"/>
      <x:c r="N374" s="10"/>
      <x:c r="O374" s="1" t="str">
        <x:f>IF(COUNTA(A374:N374)=0,"",IF(OR(A374="",B374="",C374="",NOT(ISNUMBER(D374)),NOT(ISNUMBER(E374))),"Complete required fields",IF(COUNTIFS($A$7:$A$506,A374)&gt;1,"Duplicate ID",IF(COUNTIFS('Accounts'!$A$7:$A$26,C374,'Accounts'!$B$7:$B$26,D374)&lt;&gt;1,"Check account/currency",IF(OR(I374&lt;0,J374&lt;0,AND(I374&gt;0,J374&gt;0),AND(I374=0,J374=0)),"Check amounts",IF(OR(AND(E374="Income",J374&gt;0),AND(E374="Expense",I374&gt;0),AND(E374="Transfer in",J374&gt;0),AND(E374="Transfer out",I374&gt;0)),"Check type/direction",IF(AND(OR(E374="Transfer in",E374="Transfer out"),M374=""),"Add transfer pair ID",IF(AND(OR(E374="Transfer in",E374="Transfer out"),COUNTIFS($M$7:$M$506,M374,$D$7:$D$506,D374)&lt;&gt;2),"Check transfer pair",IF(AND(E374="Expense",K374=""),"Assign budget fund",IF(AND(E374="Expense",L374=""),"Add receipt / proof",""))))))))))</x:f>
      </x:c>
    </x:row>
    <x:row r="375" ht="24" customHeight="1">
      <x:c r="A375" s="10"/>
      <x:c r="B375" s="5"/>
      <x:c r="C375" s="10"/>
      <x:c r="D375" s="10"/>
      <x:c r="E375" s="10"/>
      <x:c r="F375" s="10"/>
      <x:c r="G375" s="10"/>
      <x:c r="H375" s="10"/>
      <x:c r="I375" s="11"/>
      <x:c r="J375" s="11"/>
      <x:c r="K375" s="10"/>
      <x:c r="L375" s="10"/>
      <x:c r="M375" s="10"/>
      <x:c r="N375" s="10"/>
      <x:c r="O375" s="1" t="str">
        <x:f>IF(COUNTA(A375:N375)=0,"",IF(OR(A375="",B375="",C375="",NOT(ISNUMBER(D375)),NOT(ISNUMBER(E375))),"Complete required fields",IF(COUNTIFS($A$7:$A$506,A375)&gt;1,"Duplicate ID",IF(COUNTIFS('Accounts'!$A$7:$A$26,C375,'Accounts'!$B$7:$B$26,D375)&lt;&gt;1,"Check account/currency",IF(OR(I375&lt;0,J375&lt;0,AND(I375&gt;0,J375&gt;0),AND(I375=0,J375=0)),"Check amounts",IF(OR(AND(E375="Income",J375&gt;0),AND(E375="Expense",I375&gt;0),AND(E375="Transfer in",J375&gt;0),AND(E375="Transfer out",I375&gt;0)),"Check type/direction",IF(AND(OR(E375="Transfer in",E375="Transfer out"),M375=""),"Add transfer pair ID",IF(AND(OR(E375="Transfer in",E375="Transfer out"),COUNTIFS($M$7:$M$506,M375,$D$7:$D$506,D375)&lt;&gt;2),"Check transfer pair",IF(AND(E375="Expense",K375=""),"Assign budget fund",IF(AND(E375="Expense",L375=""),"Add receipt / proof",""))))))))))</x:f>
      </x:c>
    </x:row>
    <x:row r="376" ht="24" customHeight="1">
      <x:c r="A376" s="10"/>
      <x:c r="B376" s="5"/>
      <x:c r="C376" s="10"/>
      <x:c r="D376" s="10"/>
      <x:c r="E376" s="10"/>
      <x:c r="F376" s="10"/>
      <x:c r="G376" s="10"/>
      <x:c r="H376" s="10"/>
      <x:c r="I376" s="11"/>
      <x:c r="J376" s="11"/>
      <x:c r="K376" s="10"/>
      <x:c r="L376" s="10"/>
      <x:c r="M376" s="10"/>
      <x:c r="N376" s="10"/>
      <x:c r="O376" s="1" t="str">
        <x:f>IF(COUNTA(A376:N376)=0,"",IF(OR(A376="",B376="",C376="",NOT(ISNUMBER(D376)),NOT(ISNUMBER(E376))),"Complete required fields",IF(COUNTIFS($A$7:$A$506,A376)&gt;1,"Duplicate ID",IF(COUNTIFS('Accounts'!$A$7:$A$26,C376,'Accounts'!$B$7:$B$26,D376)&lt;&gt;1,"Check account/currency",IF(OR(I376&lt;0,J376&lt;0,AND(I376&gt;0,J376&gt;0),AND(I376=0,J376=0)),"Check amounts",IF(OR(AND(E376="Income",J376&gt;0),AND(E376="Expense",I376&gt;0),AND(E376="Transfer in",J376&gt;0),AND(E376="Transfer out",I376&gt;0)),"Check type/direction",IF(AND(OR(E376="Transfer in",E376="Transfer out"),M376=""),"Add transfer pair ID",IF(AND(OR(E376="Transfer in",E376="Transfer out"),COUNTIFS($M$7:$M$506,M376,$D$7:$D$506,D376)&lt;&gt;2),"Check transfer pair",IF(AND(E376="Expense",K376=""),"Assign budget fund",IF(AND(E376="Expense",L376=""),"Add receipt / proof",""))))))))))</x:f>
      </x:c>
    </x:row>
    <x:row r="377" ht="24" customHeight="1">
      <x:c r="A377" s="10"/>
      <x:c r="B377" s="5"/>
      <x:c r="C377" s="10"/>
      <x:c r="D377" s="10"/>
      <x:c r="E377" s="10"/>
      <x:c r="F377" s="10"/>
      <x:c r="G377" s="10"/>
      <x:c r="H377" s="10"/>
      <x:c r="I377" s="11"/>
      <x:c r="J377" s="11"/>
      <x:c r="K377" s="10"/>
      <x:c r="L377" s="10"/>
      <x:c r="M377" s="10"/>
      <x:c r="N377" s="10"/>
      <x:c r="O377" s="1" t="str">
        <x:f>IF(COUNTA(A377:N377)=0,"",IF(OR(A377="",B377="",C377="",NOT(ISNUMBER(D377)),NOT(ISNUMBER(E377))),"Complete required fields",IF(COUNTIFS($A$7:$A$506,A377)&gt;1,"Duplicate ID",IF(COUNTIFS('Accounts'!$A$7:$A$26,C377,'Accounts'!$B$7:$B$26,D377)&lt;&gt;1,"Check account/currency",IF(OR(I377&lt;0,J377&lt;0,AND(I377&gt;0,J377&gt;0),AND(I377=0,J377=0)),"Check amounts",IF(OR(AND(E377="Income",J377&gt;0),AND(E377="Expense",I377&gt;0),AND(E377="Transfer in",J377&gt;0),AND(E377="Transfer out",I377&gt;0)),"Check type/direction",IF(AND(OR(E377="Transfer in",E377="Transfer out"),M377=""),"Add transfer pair ID",IF(AND(OR(E377="Transfer in",E377="Transfer out"),COUNTIFS($M$7:$M$506,M377,$D$7:$D$506,D377)&lt;&gt;2),"Check transfer pair",IF(AND(E377="Expense",K377=""),"Assign budget fund",IF(AND(E377="Expense",L377=""),"Add receipt / proof",""))))))))))</x:f>
      </x:c>
    </x:row>
    <x:row r="378" ht="24" customHeight="1">
      <x:c r="A378" s="10"/>
      <x:c r="B378" s="5"/>
      <x:c r="C378" s="10"/>
      <x:c r="D378" s="10"/>
      <x:c r="E378" s="10"/>
      <x:c r="F378" s="10"/>
      <x:c r="G378" s="10"/>
      <x:c r="H378" s="10"/>
      <x:c r="I378" s="11"/>
      <x:c r="J378" s="11"/>
      <x:c r="K378" s="10"/>
      <x:c r="L378" s="10"/>
      <x:c r="M378" s="10"/>
      <x:c r="N378" s="10"/>
      <x:c r="O378" s="1" t="str">
        <x:f>IF(COUNTA(A378:N378)=0,"",IF(OR(A378="",B378="",C378="",NOT(ISNUMBER(D378)),NOT(ISNUMBER(E378))),"Complete required fields",IF(COUNTIFS($A$7:$A$506,A378)&gt;1,"Duplicate ID",IF(COUNTIFS('Accounts'!$A$7:$A$26,C378,'Accounts'!$B$7:$B$26,D378)&lt;&gt;1,"Check account/currency",IF(OR(I378&lt;0,J378&lt;0,AND(I378&gt;0,J378&gt;0),AND(I378=0,J378=0)),"Check amounts",IF(OR(AND(E378="Income",J378&gt;0),AND(E378="Expense",I378&gt;0),AND(E378="Transfer in",J378&gt;0),AND(E378="Transfer out",I378&gt;0)),"Check type/direction",IF(AND(OR(E378="Transfer in",E378="Transfer out"),M378=""),"Add transfer pair ID",IF(AND(OR(E378="Transfer in",E378="Transfer out"),COUNTIFS($M$7:$M$506,M378,$D$7:$D$506,D378)&lt;&gt;2),"Check transfer pair",IF(AND(E378="Expense",K378=""),"Assign budget fund",IF(AND(E378="Expense",L378=""),"Add receipt / proof",""))))))))))</x:f>
      </x:c>
    </x:row>
    <x:row r="379" ht="24" customHeight="1">
      <x:c r="A379" s="10"/>
      <x:c r="B379" s="5"/>
      <x:c r="C379" s="10"/>
      <x:c r="D379" s="10"/>
      <x:c r="E379" s="10"/>
      <x:c r="F379" s="10"/>
      <x:c r="G379" s="10"/>
      <x:c r="H379" s="10"/>
      <x:c r="I379" s="11"/>
      <x:c r="J379" s="11"/>
      <x:c r="K379" s="10"/>
      <x:c r="L379" s="10"/>
      <x:c r="M379" s="10"/>
      <x:c r="N379" s="10"/>
      <x:c r="O379" s="1" t="str">
        <x:f>IF(COUNTA(A379:N379)=0,"",IF(OR(A379="",B379="",C379="",NOT(ISNUMBER(D379)),NOT(ISNUMBER(E379))),"Complete required fields",IF(COUNTIFS($A$7:$A$506,A379)&gt;1,"Duplicate ID",IF(COUNTIFS('Accounts'!$A$7:$A$26,C379,'Accounts'!$B$7:$B$26,D379)&lt;&gt;1,"Check account/currency",IF(OR(I379&lt;0,J379&lt;0,AND(I379&gt;0,J379&gt;0),AND(I379=0,J379=0)),"Check amounts",IF(OR(AND(E379="Income",J379&gt;0),AND(E379="Expense",I379&gt;0),AND(E379="Transfer in",J379&gt;0),AND(E379="Transfer out",I379&gt;0)),"Check type/direction",IF(AND(OR(E379="Transfer in",E379="Transfer out"),M379=""),"Add transfer pair ID",IF(AND(OR(E379="Transfer in",E379="Transfer out"),COUNTIFS($M$7:$M$506,M379,$D$7:$D$506,D379)&lt;&gt;2),"Check transfer pair",IF(AND(E379="Expense",K379=""),"Assign budget fund",IF(AND(E379="Expense",L379=""),"Add receipt / proof",""))))))))))</x:f>
      </x:c>
    </x:row>
    <x:row r="380" ht="24" customHeight="1">
      <x:c r="A380" s="10"/>
      <x:c r="B380" s="5"/>
      <x:c r="C380" s="10"/>
      <x:c r="D380" s="10"/>
      <x:c r="E380" s="10"/>
      <x:c r="F380" s="10"/>
      <x:c r="G380" s="10"/>
      <x:c r="H380" s="10"/>
      <x:c r="I380" s="11"/>
      <x:c r="J380" s="11"/>
      <x:c r="K380" s="10"/>
      <x:c r="L380" s="10"/>
      <x:c r="M380" s="10"/>
      <x:c r="N380" s="10"/>
      <x:c r="O380" s="1" t="str">
        <x:f>IF(COUNTA(A380:N380)=0,"",IF(OR(A380="",B380="",C380="",NOT(ISNUMBER(D380)),NOT(ISNUMBER(E380))),"Complete required fields",IF(COUNTIFS($A$7:$A$506,A380)&gt;1,"Duplicate ID",IF(COUNTIFS('Accounts'!$A$7:$A$26,C380,'Accounts'!$B$7:$B$26,D380)&lt;&gt;1,"Check account/currency",IF(OR(I380&lt;0,J380&lt;0,AND(I380&gt;0,J380&gt;0),AND(I380=0,J380=0)),"Check amounts",IF(OR(AND(E380="Income",J380&gt;0),AND(E380="Expense",I380&gt;0),AND(E380="Transfer in",J380&gt;0),AND(E380="Transfer out",I380&gt;0)),"Check type/direction",IF(AND(OR(E380="Transfer in",E380="Transfer out"),M380=""),"Add transfer pair ID",IF(AND(OR(E380="Transfer in",E380="Transfer out"),COUNTIFS($M$7:$M$506,M380,$D$7:$D$506,D380)&lt;&gt;2),"Check transfer pair",IF(AND(E380="Expense",K380=""),"Assign budget fund",IF(AND(E380="Expense",L380=""),"Add receipt / proof",""))))))))))</x:f>
      </x:c>
    </x:row>
    <x:row r="381" ht="24" customHeight="1">
      <x:c r="A381" s="10"/>
      <x:c r="B381" s="5"/>
      <x:c r="C381" s="10"/>
      <x:c r="D381" s="10"/>
      <x:c r="E381" s="10"/>
      <x:c r="F381" s="10"/>
      <x:c r="G381" s="10"/>
      <x:c r="H381" s="10"/>
      <x:c r="I381" s="11"/>
      <x:c r="J381" s="11"/>
      <x:c r="K381" s="10"/>
      <x:c r="L381" s="10"/>
      <x:c r="M381" s="10"/>
      <x:c r="N381" s="10"/>
      <x:c r="O381" s="1" t="str">
        <x:f>IF(COUNTA(A381:N381)=0,"",IF(OR(A381="",B381="",C381="",NOT(ISNUMBER(D381)),NOT(ISNUMBER(E381))),"Complete required fields",IF(COUNTIFS($A$7:$A$506,A381)&gt;1,"Duplicate ID",IF(COUNTIFS('Accounts'!$A$7:$A$26,C381,'Accounts'!$B$7:$B$26,D381)&lt;&gt;1,"Check account/currency",IF(OR(I381&lt;0,J381&lt;0,AND(I381&gt;0,J381&gt;0),AND(I381=0,J381=0)),"Check amounts",IF(OR(AND(E381="Income",J381&gt;0),AND(E381="Expense",I381&gt;0),AND(E381="Transfer in",J381&gt;0),AND(E381="Transfer out",I381&gt;0)),"Check type/direction",IF(AND(OR(E381="Transfer in",E381="Transfer out"),M381=""),"Add transfer pair ID",IF(AND(OR(E381="Transfer in",E381="Transfer out"),COUNTIFS($M$7:$M$506,M381,$D$7:$D$506,D381)&lt;&gt;2),"Check transfer pair",IF(AND(E381="Expense",K381=""),"Assign budget fund",IF(AND(E381="Expense",L381=""),"Add receipt / proof",""))))))))))</x:f>
      </x:c>
    </x:row>
    <x:row r="382" ht="24" customHeight="1">
      <x:c r="A382" s="10"/>
      <x:c r="B382" s="5"/>
      <x:c r="C382" s="10"/>
      <x:c r="D382" s="10"/>
      <x:c r="E382" s="10"/>
      <x:c r="F382" s="10"/>
      <x:c r="G382" s="10"/>
      <x:c r="H382" s="10"/>
      <x:c r="I382" s="11"/>
      <x:c r="J382" s="11"/>
      <x:c r="K382" s="10"/>
      <x:c r="L382" s="10"/>
      <x:c r="M382" s="10"/>
      <x:c r="N382" s="10"/>
      <x:c r="O382" s="1" t="str">
        <x:f>IF(COUNTA(A382:N382)=0,"",IF(OR(A382="",B382="",C382="",NOT(ISNUMBER(D382)),NOT(ISNUMBER(E382))),"Complete required fields",IF(COUNTIFS($A$7:$A$506,A382)&gt;1,"Duplicate ID",IF(COUNTIFS('Accounts'!$A$7:$A$26,C382,'Accounts'!$B$7:$B$26,D382)&lt;&gt;1,"Check account/currency",IF(OR(I382&lt;0,J382&lt;0,AND(I382&gt;0,J382&gt;0),AND(I382=0,J382=0)),"Check amounts",IF(OR(AND(E382="Income",J382&gt;0),AND(E382="Expense",I382&gt;0),AND(E382="Transfer in",J382&gt;0),AND(E382="Transfer out",I382&gt;0)),"Check type/direction",IF(AND(OR(E382="Transfer in",E382="Transfer out"),M382=""),"Add transfer pair ID",IF(AND(OR(E382="Transfer in",E382="Transfer out"),COUNTIFS($M$7:$M$506,M382,$D$7:$D$506,D382)&lt;&gt;2),"Check transfer pair",IF(AND(E382="Expense",K382=""),"Assign budget fund",IF(AND(E382="Expense",L382=""),"Add receipt / proof",""))))))))))</x:f>
      </x:c>
    </x:row>
    <x:row r="383" ht="24" customHeight="1">
      <x:c r="A383" s="10"/>
      <x:c r="B383" s="5"/>
      <x:c r="C383" s="10"/>
      <x:c r="D383" s="10"/>
      <x:c r="E383" s="10"/>
      <x:c r="F383" s="10"/>
      <x:c r="G383" s="10"/>
      <x:c r="H383" s="10"/>
      <x:c r="I383" s="11"/>
      <x:c r="J383" s="11"/>
      <x:c r="K383" s="10"/>
      <x:c r="L383" s="10"/>
      <x:c r="M383" s="10"/>
      <x:c r="N383" s="10"/>
      <x:c r="O383" s="1" t="str">
        <x:f>IF(COUNTA(A383:N383)=0,"",IF(OR(A383="",B383="",C383="",NOT(ISNUMBER(D383)),NOT(ISNUMBER(E383))),"Complete required fields",IF(COUNTIFS($A$7:$A$506,A383)&gt;1,"Duplicate ID",IF(COUNTIFS('Accounts'!$A$7:$A$26,C383,'Accounts'!$B$7:$B$26,D383)&lt;&gt;1,"Check account/currency",IF(OR(I383&lt;0,J383&lt;0,AND(I383&gt;0,J383&gt;0),AND(I383=0,J383=0)),"Check amounts",IF(OR(AND(E383="Income",J383&gt;0),AND(E383="Expense",I383&gt;0),AND(E383="Transfer in",J383&gt;0),AND(E383="Transfer out",I383&gt;0)),"Check type/direction",IF(AND(OR(E383="Transfer in",E383="Transfer out"),M383=""),"Add transfer pair ID",IF(AND(OR(E383="Transfer in",E383="Transfer out"),COUNTIFS($M$7:$M$506,M383,$D$7:$D$506,D383)&lt;&gt;2),"Check transfer pair",IF(AND(E383="Expense",K383=""),"Assign budget fund",IF(AND(E383="Expense",L383=""),"Add receipt / proof",""))))))))))</x:f>
      </x:c>
    </x:row>
    <x:row r="384" ht="24" customHeight="1">
      <x:c r="A384" s="10"/>
      <x:c r="B384" s="5"/>
      <x:c r="C384" s="10"/>
      <x:c r="D384" s="10"/>
      <x:c r="E384" s="10"/>
      <x:c r="F384" s="10"/>
      <x:c r="G384" s="10"/>
      <x:c r="H384" s="10"/>
      <x:c r="I384" s="11"/>
      <x:c r="J384" s="11"/>
      <x:c r="K384" s="10"/>
      <x:c r="L384" s="10"/>
      <x:c r="M384" s="10"/>
      <x:c r="N384" s="10"/>
      <x:c r="O384" s="1" t="str">
        <x:f>IF(COUNTA(A384:N384)=0,"",IF(OR(A384="",B384="",C384="",NOT(ISNUMBER(D384)),NOT(ISNUMBER(E384))),"Complete required fields",IF(COUNTIFS($A$7:$A$506,A384)&gt;1,"Duplicate ID",IF(COUNTIFS('Accounts'!$A$7:$A$26,C384,'Accounts'!$B$7:$B$26,D384)&lt;&gt;1,"Check account/currency",IF(OR(I384&lt;0,J384&lt;0,AND(I384&gt;0,J384&gt;0),AND(I384=0,J384=0)),"Check amounts",IF(OR(AND(E384="Income",J384&gt;0),AND(E384="Expense",I384&gt;0),AND(E384="Transfer in",J384&gt;0),AND(E384="Transfer out",I384&gt;0)),"Check type/direction",IF(AND(OR(E384="Transfer in",E384="Transfer out"),M384=""),"Add transfer pair ID",IF(AND(OR(E384="Transfer in",E384="Transfer out"),COUNTIFS($M$7:$M$506,M384,$D$7:$D$506,D384)&lt;&gt;2),"Check transfer pair",IF(AND(E384="Expense",K384=""),"Assign budget fund",IF(AND(E384="Expense",L384=""),"Add receipt / proof",""))))))))))</x:f>
      </x:c>
    </x:row>
    <x:row r="385" ht="24" customHeight="1">
      <x:c r="A385" s="10"/>
      <x:c r="B385" s="5"/>
      <x:c r="C385" s="10"/>
      <x:c r="D385" s="10"/>
      <x:c r="E385" s="10"/>
      <x:c r="F385" s="10"/>
      <x:c r="G385" s="10"/>
      <x:c r="H385" s="10"/>
      <x:c r="I385" s="11"/>
      <x:c r="J385" s="11"/>
      <x:c r="K385" s="10"/>
      <x:c r="L385" s="10"/>
      <x:c r="M385" s="10"/>
      <x:c r="N385" s="10"/>
      <x:c r="O385" s="1" t="str">
        <x:f>IF(COUNTA(A385:N385)=0,"",IF(OR(A385="",B385="",C385="",NOT(ISNUMBER(D385)),NOT(ISNUMBER(E385))),"Complete required fields",IF(COUNTIFS($A$7:$A$506,A385)&gt;1,"Duplicate ID",IF(COUNTIFS('Accounts'!$A$7:$A$26,C385,'Accounts'!$B$7:$B$26,D385)&lt;&gt;1,"Check account/currency",IF(OR(I385&lt;0,J385&lt;0,AND(I385&gt;0,J385&gt;0),AND(I385=0,J385=0)),"Check amounts",IF(OR(AND(E385="Income",J385&gt;0),AND(E385="Expense",I385&gt;0),AND(E385="Transfer in",J385&gt;0),AND(E385="Transfer out",I385&gt;0)),"Check type/direction",IF(AND(OR(E385="Transfer in",E385="Transfer out"),M385=""),"Add transfer pair ID",IF(AND(OR(E385="Transfer in",E385="Transfer out"),COUNTIFS($M$7:$M$506,M385,$D$7:$D$506,D385)&lt;&gt;2),"Check transfer pair",IF(AND(E385="Expense",K385=""),"Assign budget fund",IF(AND(E385="Expense",L385=""),"Add receipt / proof",""))))))))))</x:f>
      </x:c>
    </x:row>
    <x:row r="386" ht="24" customHeight="1">
      <x:c r="A386" s="10"/>
      <x:c r="B386" s="5"/>
      <x:c r="C386" s="10"/>
      <x:c r="D386" s="10"/>
      <x:c r="E386" s="10"/>
      <x:c r="F386" s="10"/>
      <x:c r="G386" s="10"/>
      <x:c r="H386" s="10"/>
      <x:c r="I386" s="11"/>
      <x:c r="J386" s="11"/>
      <x:c r="K386" s="10"/>
      <x:c r="L386" s="10"/>
      <x:c r="M386" s="10"/>
      <x:c r="N386" s="10"/>
      <x:c r="O386" s="1" t="str">
        <x:f>IF(COUNTA(A386:N386)=0,"",IF(OR(A386="",B386="",C386="",NOT(ISNUMBER(D386)),NOT(ISNUMBER(E386))),"Complete required fields",IF(COUNTIFS($A$7:$A$506,A386)&gt;1,"Duplicate ID",IF(COUNTIFS('Accounts'!$A$7:$A$26,C386,'Accounts'!$B$7:$B$26,D386)&lt;&gt;1,"Check account/currency",IF(OR(I386&lt;0,J386&lt;0,AND(I386&gt;0,J386&gt;0),AND(I386=0,J386=0)),"Check amounts",IF(OR(AND(E386="Income",J386&gt;0),AND(E386="Expense",I386&gt;0),AND(E386="Transfer in",J386&gt;0),AND(E386="Transfer out",I386&gt;0)),"Check type/direction",IF(AND(OR(E386="Transfer in",E386="Transfer out"),M386=""),"Add transfer pair ID",IF(AND(OR(E386="Transfer in",E386="Transfer out"),COUNTIFS($M$7:$M$506,M386,$D$7:$D$506,D386)&lt;&gt;2),"Check transfer pair",IF(AND(E386="Expense",K386=""),"Assign budget fund",IF(AND(E386="Expense",L386=""),"Add receipt / proof",""))))))))))</x:f>
      </x:c>
    </x:row>
    <x:row r="387" ht="24" customHeight="1">
      <x:c r="A387" s="10"/>
      <x:c r="B387" s="5"/>
      <x:c r="C387" s="10"/>
      <x:c r="D387" s="10"/>
      <x:c r="E387" s="10"/>
      <x:c r="F387" s="10"/>
      <x:c r="G387" s="10"/>
      <x:c r="H387" s="10"/>
      <x:c r="I387" s="11"/>
      <x:c r="J387" s="11"/>
      <x:c r="K387" s="10"/>
      <x:c r="L387" s="10"/>
      <x:c r="M387" s="10"/>
      <x:c r="N387" s="10"/>
      <x:c r="O387" s="1" t="str">
        <x:f>IF(COUNTA(A387:N387)=0,"",IF(OR(A387="",B387="",C387="",NOT(ISNUMBER(D387)),NOT(ISNUMBER(E387))),"Complete required fields",IF(COUNTIFS($A$7:$A$506,A387)&gt;1,"Duplicate ID",IF(COUNTIFS('Accounts'!$A$7:$A$26,C387,'Accounts'!$B$7:$B$26,D387)&lt;&gt;1,"Check account/currency",IF(OR(I387&lt;0,J387&lt;0,AND(I387&gt;0,J387&gt;0),AND(I387=0,J387=0)),"Check amounts",IF(OR(AND(E387="Income",J387&gt;0),AND(E387="Expense",I387&gt;0),AND(E387="Transfer in",J387&gt;0),AND(E387="Transfer out",I387&gt;0)),"Check type/direction",IF(AND(OR(E387="Transfer in",E387="Transfer out"),M387=""),"Add transfer pair ID",IF(AND(OR(E387="Transfer in",E387="Transfer out"),COUNTIFS($M$7:$M$506,M387,$D$7:$D$506,D387)&lt;&gt;2),"Check transfer pair",IF(AND(E387="Expense",K387=""),"Assign budget fund",IF(AND(E387="Expense",L387=""),"Add receipt / proof",""))))))))))</x:f>
      </x:c>
    </x:row>
    <x:row r="388" ht="24" customHeight="1">
      <x:c r="A388" s="10"/>
      <x:c r="B388" s="5"/>
      <x:c r="C388" s="10"/>
      <x:c r="D388" s="10"/>
      <x:c r="E388" s="10"/>
      <x:c r="F388" s="10"/>
      <x:c r="G388" s="10"/>
      <x:c r="H388" s="10"/>
      <x:c r="I388" s="11"/>
      <x:c r="J388" s="11"/>
      <x:c r="K388" s="10"/>
      <x:c r="L388" s="10"/>
      <x:c r="M388" s="10"/>
      <x:c r="N388" s="10"/>
      <x:c r="O388" s="1" t="str">
        <x:f>IF(COUNTA(A388:N388)=0,"",IF(OR(A388="",B388="",C388="",NOT(ISNUMBER(D388)),NOT(ISNUMBER(E388))),"Complete required fields",IF(COUNTIFS($A$7:$A$506,A388)&gt;1,"Duplicate ID",IF(COUNTIFS('Accounts'!$A$7:$A$26,C388,'Accounts'!$B$7:$B$26,D388)&lt;&gt;1,"Check account/currency",IF(OR(I388&lt;0,J388&lt;0,AND(I388&gt;0,J388&gt;0),AND(I388=0,J388=0)),"Check amounts",IF(OR(AND(E388="Income",J388&gt;0),AND(E388="Expense",I388&gt;0),AND(E388="Transfer in",J388&gt;0),AND(E388="Transfer out",I388&gt;0)),"Check type/direction",IF(AND(OR(E388="Transfer in",E388="Transfer out"),M388=""),"Add transfer pair ID",IF(AND(OR(E388="Transfer in",E388="Transfer out"),COUNTIFS($M$7:$M$506,M388,$D$7:$D$506,D388)&lt;&gt;2),"Check transfer pair",IF(AND(E388="Expense",K388=""),"Assign budget fund",IF(AND(E388="Expense",L388=""),"Add receipt / proof",""))))))))))</x:f>
      </x:c>
    </x:row>
    <x:row r="389" ht="24" customHeight="1">
      <x:c r="A389" s="10"/>
      <x:c r="B389" s="5"/>
      <x:c r="C389" s="10"/>
      <x:c r="D389" s="10"/>
      <x:c r="E389" s="10"/>
      <x:c r="F389" s="10"/>
      <x:c r="G389" s="10"/>
      <x:c r="H389" s="10"/>
      <x:c r="I389" s="11"/>
      <x:c r="J389" s="11"/>
      <x:c r="K389" s="10"/>
      <x:c r="L389" s="10"/>
      <x:c r="M389" s="10"/>
      <x:c r="N389" s="10"/>
      <x:c r="O389" s="1" t="str">
        <x:f>IF(COUNTA(A389:N389)=0,"",IF(OR(A389="",B389="",C389="",NOT(ISNUMBER(D389)),NOT(ISNUMBER(E389))),"Complete required fields",IF(COUNTIFS($A$7:$A$506,A389)&gt;1,"Duplicate ID",IF(COUNTIFS('Accounts'!$A$7:$A$26,C389,'Accounts'!$B$7:$B$26,D389)&lt;&gt;1,"Check account/currency",IF(OR(I389&lt;0,J389&lt;0,AND(I389&gt;0,J389&gt;0),AND(I389=0,J389=0)),"Check amounts",IF(OR(AND(E389="Income",J389&gt;0),AND(E389="Expense",I389&gt;0),AND(E389="Transfer in",J389&gt;0),AND(E389="Transfer out",I389&gt;0)),"Check type/direction",IF(AND(OR(E389="Transfer in",E389="Transfer out"),M389=""),"Add transfer pair ID",IF(AND(OR(E389="Transfer in",E389="Transfer out"),COUNTIFS($M$7:$M$506,M389,$D$7:$D$506,D389)&lt;&gt;2),"Check transfer pair",IF(AND(E389="Expense",K389=""),"Assign budget fund",IF(AND(E389="Expense",L389=""),"Add receipt / proof",""))))))))))</x:f>
      </x:c>
    </x:row>
    <x:row r="390" ht="24" customHeight="1">
      <x:c r="A390" s="10"/>
      <x:c r="B390" s="5"/>
      <x:c r="C390" s="10"/>
      <x:c r="D390" s="10"/>
      <x:c r="E390" s="10"/>
      <x:c r="F390" s="10"/>
      <x:c r="G390" s="10"/>
      <x:c r="H390" s="10"/>
      <x:c r="I390" s="11"/>
      <x:c r="J390" s="11"/>
      <x:c r="K390" s="10"/>
      <x:c r="L390" s="10"/>
      <x:c r="M390" s="10"/>
      <x:c r="N390" s="10"/>
      <x:c r="O390" s="1" t="str">
        <x:f>IF(COUNTA(A390:N390)=0,"",IF(OR(A390="",B390="",C390="",NOT(ISNUMBER(D390)),NOT(ISNUMBER(E390))),"Complete required fields",IF(COUNTIFS($A$7:$A$506,A390)&gt;1,"Duplicate ID",IF(COUNTIFS('Accounts'!$A$7:$A$26,C390,'Accounts'!$B$7:$B$26,D390)&lt;&gt;1,"Check account/currency",IF(OR(I390&lt;0,J390&lt;0,AND(I390&gt;0,J390&gt;0),AND(I390=0,J390=0)),"Check amounts",IF(OR(AND(E390="Income",J390&gt;0),AND(E390="Expense",I390&gt;0),AND(E390="Transfer in",J390&gt;0),AND(E390="Transfer out",I390&gt;0)),"Check type/direction",IF(AND(OR(E390="Transfer in",E390="Transfer out"),M390=""),"Add transfer pair ID",IF(AND(OR(E390="Transfer in",E390="Transfer out"),COUNTIFS($M$7:$M$506,M390,$D$7:$D$506,D390)&lt;&gt;2),"Check transfer pair",IF(AND(E390="Expense",K390=""),"Assign budget fund",IF(AND(E390="Expense",L390=""),"Add receipt / proof",""))))))))))</x:f>
      </x:c>
    </x:row>
    <x:row r="391" ht="24" customHeight="1">
      <x:c r="A391" s="10"/>
      <x:c r="B391" s="5"/>
      <x:c r="C391" s="10"/>
      <x:c r="D391" s="10"/>
      <x:c r="E391" s="10"/>
      <x:c r="F391" s="10"/>
      <x:c r="G391" s="10"/>
      <x:c r="H391" s="10"/>
      <x:c r="I391" s="11"/>
      <x:c r="J391" s="11"/>
      <x:c r="K391" s="10"/>
      <x:c r="L391" s="10"/>
      <x:c r="M391" s="10"/>
      <x:c r="N391" s="10"/>
      <x:c r="O391" s="1" t="str">
        <x:f>IF(COUNTA(A391:N391)=0,"",IF(OR(A391="",B391="",C391="",NOT(ISNUMBER(D391)),NOT(ISNUMBER(E391))),"Complete required fields",IF(COUNTIFS($A$7:$A$506,A391)&gt;1,"Duplicate ID",IF(COUNTIFS('Accounts'!$A$7:$A$26,C391,'Accounts'!$B$7:$B$26,D391)&lt;&gt;1,"Check account/currency",IF(OR(I391&lt;0,J391&lt;0,AND(I391&gt;0,J391&gt;0),AND(I391=0,J391=0)),"Check amounts",IF(OR(AND(E391="Income",J391&gt;0),AND(E391="Expense",I391&gt;0),AND(E391="Transfer in",J391&gt;0),AND(E391="Transfer out",I391&gt;0)),"Check type/direction",IF(AND(OR(E391="Transfer in",E391="Transfer out"),M391=""),"Add transfer pair ID",IF(AND(OR(E391="Transfer in",E391="Transfer out"),COUNTIFS($M$7:$M$506,M391,$D$7:$D$506,D391)&lt;&gt;2),"Check transfer pair",IF(AND(E391="Expense",K391=""),"Assign budget fund",IF(AND(E391="Expense",L391=""),"Add receipt / proof",""))))))))))</x:f>
      </x:c>
    </x:row>
    <x:row r="392" ht="24" customHeight="1">
      <x:c r="A392" s="10"/>
      <x:c r="B392" s="5"/>
      <x:c r="C392" s="10"/>
      <x:c r="D392" s="10"/>
      <x:c r="E392" s="10"/>
      <x:c r="F392" s="10"/>
      <x:c r="G392" s="10"/>
      <x:c r="H392" s="10"/>
      <x:c r="I392" s="11"/>
      <x:c r="J392" s="11"/>
      <x:c r="K392" s="10"/>
      <x:c r="L392" s="10"/>
      <x:c r="M392" s="10"/>
      <x:c r="N392" s="10"/>
      <x:c r="O392" s="1" t="str">
        <x:f>IF(COUNTA(A392:N392)=0,"",IF(OR(A392="",B392="",C392="",NOT(ISNUMBER(D392)),NOT(ISNUMBER(E392))),"Complete required fields",IF(COUNTIFS($A$7:$A$506,A392)&gt;1,"Duplicate ID",IF(COUNTIFS('Accounts'!$A$7:$A$26,C392,'Accounts'!$B$7:$B$26,D392)&lt;&gt;1,"Check account/currency",IF(OR(I392&lt;0,J392&lt;0,AND(I392&gt;0,J392&gt;0),AND(I392=0,J392=0)),"Check amounts",IF(OR(AND(E392="Income",J392&gt;0),AND(E392="Expense",I392&gt;0),AND(E392="Transfer in",J392&gt;0),AND(E392="Transfer out",I392&gt;0)),"Check type/direction",IF(AND(OR(E392="Transfer in",E392="Transfer out"),M392=""),"Add transfer pair ID",IF(AND(OR(E392="Transfer in",E392="Transfer out"),COUNTIFS($M$7:$M$506,M392,$D$7:$D$506,D392)&lt;&gt;2),"Check transfer pair",IF(AND(E392="Expense",K392=""),"Assign budget fund",IF(AND(E392="Expense",L392=""),"Add receipt / proof",""))))))))))</x:f>
      </x:c>
    </x:row>
    <x:row r="393" ht="24" customHeight="1">
      <x:c r="A393" s="10"/>
      <x:c r="B393" s="5"/>
      <x:c r="C393" s="10"/>
      <x:c r="D393" s="10"/>
      <x:c r="E393" s="10"/>
      <x:c r="F393" s="10"/>
      <x:c r="G393" s="10"/>
      <x:c r="H393" s="10"/>
      <x:c r="I393" s="11"/>
      <x:c r="J393" s="11"/>
      <x:c r="K393" s="10"/>
      <x:c r="L393" s="10"/>
      <x:c r="M393" s="10"/>
      <x:c r="N393" s="10"/>
      <x:c r="O393" s="1" t="str">
        <x:f>IF(COUNTA(A393:N393)=0,"",IF(OR(A393="",B393="",C393="",NOT(ISNUMBER(D393)),NOT(ISNUMBER(E393))),"Complete required fields",IF(COUNTIFS($A$7:$A$506,A393)&gt;1,"Duplicate ID",IF(COUNTIFS('Accounts'!$A$7:$A$26,C393,'Accounts'!$B$7:$B$26,D393)&lt;&gt;1,"Check account/currency",IF(OR(I393&lt;0,J393&lt;0,AND(I393&gt;0,J393&gt;0),AND(I393=0,J393=0)),"Check amounts",IF(OR(AND(E393="Income",J393&gt;0),AND(E393="Expense",I393&gt;0),AND(E393="Transfer in",J393&gt;0),AND(E393="Transfer out",I393&gt;0)),"Check type/direction",IF(AND(OR(E393="Transfer in",E393="Transfer out"),M393=""),"Add transfer pair ID",IF(AND(OR(E393="Transfer in",E393="Transfer out"),COUNTIFS($M$7:$M$506,M393,$D$7:$D$506,D393)&lt;&gt;2),"Check transfer pair",IF(AND(E393="Expense",K393=""),"Assign budget fund",IF(AND(E393="Expense",L393=""),"Add receipt / proof",""))))))))))</x:f>
      </x:c>
    </x:row>
    <x:row r="394" ht="24" customHeight="1">
      <x:c r="A394" s="10"/>
      <x:c r="B394" s="5"/>
      <x:c r="C394" s="10"/>
      <x:c r="D394" s="10"/>
      <x:c r="E394" s="10"/>
      <x:c r="F394" s="10"/>
      <x:c r="G394" s="10"/>
      <x:c r="H394" s="10"/>
      <x:c r="I394" s="11"/>
      <x:c r="J394" s="11"/>
      <x:c r="K394" s="10"/>
      <x:c r="L394" s="10"/>
      <x:c r="M394" s="10"/>
      <x:c r="N394" s="10"/>
      <x:c r="O394" s="1" t="str">
        <x:f>IF(COUNTA(A394:N394)=0,"",IF(OR(A394="",B394="",C394="",NOT(ISNUMBER(D394)),NOT(ISNUMBER(E394))),"Complete required fields",IF(COUNTIFS($A$7:$A$506,A394)&gt;1,"Duplicate ID",IF(COUNTIFS('Accounts'!$A$7:$A$26,C394,'Accounts'!$B$7:$B$26,D394)&lt;&gt;1,"Check account/currency",IF(OR(I394&lt;0,J394&lt;0,AND(I394&gt;0,J394&gt;0),AND(I394=0,J394=0)),"Check amounts",IF(OR(AND(E394="Income",J394&gt;0),AND(E394="Expense",I394&gt;0),AND(E394="Transfer in",J394&gt;0),AND(E394="Transfer out",I394&gt;0)),"Check type/direction",IF(AND(OR(E394="Transfer in",E394="Transfer out"),M394=""),"Add transfer pair ID",IF(AND(OR(E394="Transfer in",E394="Transfer out"),COUNTIFS($M$7:$M$506,M394,$D$7:$D$506,D394)&lt;&gt;2),"Check transfer pair",IF(AND(E394="Expense",K394=""),"Assign budget fund",IF(AND(E394="Expense",L394=""),"Add receipt / proof",""))))))))))</x:f>
      </x:c>
    </x:row>
    <x:row r="395" ht="24" customHeight="1">
      <x:c r="A395" s="10"/>
      <x:c r="B395" s="5"/>
      <x:c r="C395" s="10"/>
      <x:c r="D395" s="10"/>
      <x:c r="E395" s="10"/>
      <x:c r="F395" s="10"/>
      <x:c r="G395" s="10"/>
      <x:c r="H395" s="10"/>
      <x:c r="I395" s="11"/>
      <x:c r="J395" s="11"/>
      <x:c r="K395" s="10"/>
      <x:c r="L395" s="10"/>
      <x:c r="M395" s="10"/>
      <x:c r="N395" s="10"/>
      <x:c r="O395" s="1" t="str">
        <x:f>IF(COUNTA(A395:N395)=0,"",IF(OR(A395="",B395="",C395="",NOT(ISNUMBER(D395)),NOT(ISNUMBER(E395))),"Complete required fields",IF(COUNTIFS($A$7:$A$506,A395)&gt;1,"Duplicate ID",IF(COUNTIFS('Accounts'!$A$7:$A$26,C395,'Accounts'!$B$7:$B$26,D395)&lt;&gt;1,"Check account/currency",IF(OR(I395&lt;0,J395&lt;0,AND(I395&gt;0,J395&gt;0),AND(I395=0,J395=0)),"Check amounts",IF(OR(AND(E395="Income",J395&gt;0),AND(E395="Expense",I395&gt;0),AND(E395="Transfer in",J395&gt;0),AND(E395="Transfer out",I395&gt;0)),"Check type/direction",IF(AND(OR(E395="Transfer in",E395="Transfer out"),M395=""),"Add transfer pair ID",IF(AND(OR(E395="Transfer in",E395="Transfer out"),COUNTIFS($M$7:$M$506,M395,$D$7:$D$506,D395)&lt;&gt;2),"Check transfer pair",IF(AND(E395="Expense",K395=""),"Assign budget fund",IF(AND(E395="Expense",L395=""),"Add receipt / proof",""))))))))))</x:f>
      </x:c>
    </x:row>
    <x:row r="396" ht="24" customHeight="1">
      <x:c r="A396" s="10"/>
      <x:c r="B396" s="5"/>
      <x:c r="C396" s="10"/>
      <x:c r="D396" s="10"/>
      <x:c r="E396" s="10"/>
      <x:c r="F396" s="10"/>
      <x:c r="G396" s="10"/>
      <x:c r="H396" s="10"/>
      <x:c r="I396" s="11"/>
      <x:c r="J396" s="11"/>
      <x:c r="K396" s="10"/>
      <x:c r="L396" s="10"/>
      <x:c r="M396" s="10"/>
      <x:c r="N396" s="10"/>
      <x:c r="O396" s="1" t="str">
        <x:f>IF(COUNTA(A396:N396)=0,"",IF(OR(A396="",B396="",C396="",NOT(ISNUMBER(D396)),NOT(ISNUMBER(E396))),"Complete required fields",IF(COUNTIFS($A$7:$A$506,A396)&gt;1,"Duplicate ID",IF(COUNTIFS('Accounts'!$A$7:$A$26,C396,'Accounts'!$B$7:$B$26,D396)&lt;&gt;1,"Check account/currency",IF(OR(I396&lt;0,J396&lt;0,AND(I396&gt;0,J396&gt;0),AND(I396=0,J396=0)),"Check amounts",IF(OR(AND(E396="Income",J396&gt;0),AND(E396="Expense",I396&gt;0),AND(E396="Transfer in",J396&gt;0),AND(E396="Transfer out",I396&gt;0)),"Check type/direction",IF(AND(OR(E396="Transfer in",E396="Transfer out"),M396=""),"Add transfer pair ID",IF(AND(OR(E396="Transfer in",E396="Transfer out"),COUNTIFS($M$7:$M$506,M396,$D$7:$D$506,D396)&lt;&gt;2),"Check transfer pair",IF(AND(E396="Expense",K396=""),"Assign budget fund",IF(AND(E396="Expense",L396=""),"Add receipt / proof",""))))))))))</x:f>
      </x:c>
    </x:row>
    <x:row r="397" ht="24" customHeight="1">
      <x:c r="A397" s="10"/>
      <x:c r="B397" s="5"/>
      <x:c r="C397" s="10"/>
      <x:c r="D397" s="10"/>
      <x:c r="E397" s="10"/>
      <x:c r="F397" s="10"/>
      <x:c r="G397" s="10"/>
      <x:c r="H397" s="10"/>
      <x:c r="I397" s="11"/>
      <x:c r="J397" s="11"/>
      <x:c r="K397" s="10"/>
      <x:c r="L397" s="10"/>
      <x:c r="M397" s="10"/>
      <x:c r="N397" s="10"/>
      <x:c r="O397" s="1" t="str">
        <x:f>IF(COUNTA(A397:N397)=0,"",IF(OR(A397="",B397="",C397="",NOT(ISNUMBER(D397)),NOT(ISNUMBER(E397))),"Complete required fields",IF(COUNTIFS($A$7:$A$506,A397)&gt;1,"Duplicate ID",IF(COUNTIFS('Accounts'!$A$7:$A$26,C397,'Accounts'!$B$7:$B$26,D397)&lt;&gt;1,"Check account/currency",IF(OR(I397&lt;0,J397&lt;0,AND(I397&gt;0,J397&gt;0),AND(I397=0,J397=0)),"Check amounts",IF(OR(AND(E397="Income",J397&gt;0),AND(E397="Expense",I397&gt;0),AND(E397="Transfer in",J397&gt;0),AND(E397="Transfer out",I397&gt;0)),"Check type/direction",IF(AND(OR(E397="Transfer in",E397="Transfer out"),M397=""),"Add transfer pair ID",IF(AND(OR(E397="Transfer in",E397="Transfer out"),COUNTIFS($M$7:$M$506,M397,$D$7:$D$506,D397)&lt;&gt;2),"Check transfer pair",IF(AND(E397="Expense",K397=""),"Assign budget fund",IF(AND(E397="Expense",L397=""),"Add receipt / proof",""))))))))))</x:f>
      </x:c>
    </x:row>
    <x:row r="398" ht="24" customHeight="1">
      <x:c r="A398" s="10"/>
      <x:c r="B398" s="5"/>
      <x:c r="C398" s="10"/>
      <x:c r="D398" s="10"/>
      <x:c r="E398" s="10"/>
      <x:c r="F398" s="10"/>
      <x:c r="G398" s="10"/>
      <x:c r="H398" s="10"/>
      <x:c r="I398" s="11"/>
      <x:c r="J398" s="11"/>
      <x:c r="K398" s="10"/>
      <x:c r="L398" s="10"/>
      <x:c r="M398" s="10"/>
      <x:c r="N398" s="10"/>
      <x:c r="O398" s="1" t="str">
        <x:f>IF(COUNTA(A398:N398)=0,"",IF(OR(A398="",B398="",C398="",NOT(ISNUMBER(D398)),NOT(ISNUMBER(E398))),"Complete required fields",IF(COUNTIFS($A$7:$A$506,A398)&gt;1,"Duplicate ID",IF(COUNTIFS('Accounts'!$A$7:$A$26,C398,'Accounts'!$B$7:$B$26,D398)&lt;&gt;1,"Check account/currency",IF(OR(I398&lt;0,J398&lt;0,AND(I398&gt;0,J398&gt;0),AND(I398=0,J398=0)),"Check amounts",IF(OR(AND(E398="Income",J398&gt;0),AND(E398="Expense",I398&gt;0),AND(E398="Transfer in",J398&gt;0),AND(E398="Transfer out",I398&gt;0)),"Check type/direction",IF(AND(OR(E398="Transfer in",E398="Transfer out"),M398=""),"Add transfer pair ID",IF(AND(OR(E398="Transfer in",E398="Transfer out"),COUNTIFS($M$7:$M$506,M398,$D$7:$D$506,D398)&lt;&gt;2),"Check transfer pair",IF(AND(E398="Expense",K398=""),"Assign budget fund",IF(AND(E398="Expense",L398=""),"Add receipt / proof",""))))))))))</x:f>
      </x:c>
    </x:row>
    <x:row r="399" ht="24" customHeight="1">
      <x:c r="A399" s="10"/>
      <x:c r="B399" s="5"/>
      <x:c r="C399" s="10"/>
      <x:c r="D399" s="10"/>
      <x:c r="E399" s="10"/>
      <x:c r="F399" s="10"/>
      <x:c r="G399" s="10"/>
      <x:c r="H399" s="10"/>
      <x:c r="I399" s="11"/>
      <x:c r="J399" s="11"/>
      <x:c r="K399" s="10"/>
      <x:c r="L399" s="10"/>
      <x:c r="M399" s="10"/>
      <x:c r="N399" s="10"/>
      <x:c r="O399" s="1" t="str">
        <x:f>IF(COUNTA(A399:N399)=0,"",IF(OR(A399="",B399="",C399="",NOT(ISNUMBER(D399)),NOT(ISNUMBER(E399))),"Complete required fields",IF(COUNTIFS($A$7:$A$506,A399)&gt;1,"Duplicate ID",IF(COUNTIFS('Accounts'!$A$7:$A$26,C399,'Accounts'!$B$7:$B$26,D399)&lt;&gt;1,"Check account/currency",IF(OR(I399&lt;0,J399&lt;0,AND(I399&gt;0,J399&gt;0),AND(I399=0,J399=0)),"Check amounts",IF(OR(AND(E399="Income",J399&gt;0),AND(E399="Expense",I399&gt;0),AND(E399="Transfer in",J399&gt;0),AND(E399="Transfer out",I399&gt;0)),"Check type/direction",IF(AND(OR(E399="Transfer in",E399="Transfer out"),M399=""),"Add transfer pair ID",IF(AND(OR(E399="Transfer in",E399="Transfer out"),COUNTIFS($M$7:$M$506,M399,$D$7:$D$506,D399)&lt;&gt;2),"Check transfer pair",IF(AND(E399="Expense",K399=""),"Assign budget fund",IF(AND(E399="Expense",L399=""),"Add receipt / proof",""))))))))))</x:f>
      </x:c>
    </x:row>
    <x:row r="400" ht="24" customHeight="1">
      <x:c r="A400" s="10"/>
      <x:c r="B400" s="5"/>
      <x:c r="C400" s="10"/>
      <x:c r="D400" s="10"/>
      <x:c r="E400" s="10"/>
      <x:c r="F400" s="10"/>
      <x:c r="G400" s="10"/>
      <x:c r="H400" s="10"/>
      <x:c r="I400" s="11"/>
      <x:c r="J400" s="11"/>
      <x:c r="K400" s="10"/>
      <x:c r="L400" s="10"/>
      <x:c r="M400" s="10"/>
      <x:c r="N400" s="10"/>
      <x:c r="O400" s="1" t="str">
        <x:f>IF(COUNTA(A400:N400)=0,"",IF(OR(A400="",B400="",C400="",NOT(ISNUMBER(D400)),NOT(ISNUMBER(E400))),"Complete required fields",IF(COUNTIFS($A$7:$A$506,A400)&gt;1,"Duplicate ID",IF(COUNTIFS('Accounts'!$A$7:$A$26,C400,'Accounts'!$B$7:$B$26,D400)&lt;&gt;1,"Check account/currency",IF(OR(I400&lt;0,J400&lt;0,AND(I400&gt;0,J400&gt;0),AND(I400=0,J400=0)),"Check amounts",IF(OR(AND(E400="Income",J400&gt;0),AND(E400="Expense",I400&gt;0),AND(E400="Transfer in",J400&gt;0),AND(E400="Transfer out",I400&gt;0)),"Check type/direction",IF(AND(OR(E400="Transfer in",E400="Transfer out"),M400=""),"Add transfer pair ID",IF(AND(OR(E400="Transfer in",E400="Transfer out"),COUNTIFS($M$7:$M$506,M400,$D$7:$D$506,D400)&lt;&gt;2),"Check transfer pair",IF(AND(E400="Expense",K400=""),"Assign budget fund",IF(AND(E400="Expense",L400=""),"Add receipt / proof",""))))))))))</x:f>
      </x:c>
    </x:row>
    <x:row r="401" ht="24" customHeight="1">
      <x:c r="A401" s="10"/>
      <x:c r="B401" s="5"/>
      <x:c r="C401" s="10"/>
      <x:c r="D401" s="10"/>
      <x:c r="E401" s="10"/>
      <x:c r="F401" s="10"/>
      <x:c r="G401" s="10"/>
      <x:c r="H401" s="10"/>
      <x:c r="I401" s="11"/>
      <x:c r="J401" s="11"/>
      <x:c r="K401" s="10"/>
      <x:c r="L401" s="10"/>
      <x:c r="M401" s="10"/>
      <x:c r="N401" s="10"/>
      <x:c r="O401" s="1" t="str">
        <x:f>IF(COUNTA(A401:N401)=0,"",IF(OR(A401="",B401="",C401="",NOT(ISNUMBER(D401)),NOT(ISNUMBER(E401))),"Complete required fields",IF(COUNTIFS($A$7:$A$506,A401)&gt;1,"Duplicate ID",IF(COUNTIFS('Accounts'!$A$7:$A$26,C401,'Accounts'!$B$7:$B$26,D401)&lt;&gt;1,"Check account/currency",IF(OR(I401&lt;0,J401&lt;0,AND(I401&gt;0,J401&gt;0),AND(I401=0,J401=0)),"Check amounts",IF(OR(AND(E401="Income",J401&gt;0),AND(E401="Expense",I401&gt;0),AND(E401="Transfer in",J401&gt;0),AND(E401="Transfer out",I401&gt;0)),"Check type/direction",IF(AND(OR(E401="Transfer in",E401="Transfer out"),M401=""),"Add transfer pair ID",IF(AND(OR(E401="Transfer in",E401="Transfer out"),COUNTIFS($M$7:$M$506,M401,$D$7:$D$506,D401)&lt;&gt;2),"Check transfer pair",IF(AND(E401="Expense",K401=""),"Assign budget fund",IF(AND(E401="Expense",L401=""),"Add receipt / proof",""))))))))))</x:f>
      </x:c>
    </x:row>
    <x:row r="402" ht="24" customHeight="1">
      <x:c r="A402" s="10"/>
      <x:c r="B402" s="5"/>
      <x:c r="C402" s="10"/>
      <x:c r="D402" s="10"/>
      <x:c r="E402" s="10"/>
      <x:c r="F402" s="10"/>
      <x:c r="G402" s="10"/>
      <x:c r="H402" s="10"/>
      <x:c r="I402" s="11"/>
      <x:c r="J402" s="11"/>
      <x:c r="K402" s="10"/>
      <x:c r="L402" s="10"/>
      <x:c r="M402" s="10"/>
      <x:c r="N402" s="10"/>
      <x:c r="O402" s="1" t="str">
        <x:f>IF(COUNTA(A402:N402)=0,"",IF(OR(A402="",B402="",C402="",NOT(ISNUMBER(D402)),NOT(ISNUMBER(E402))),"Complete required fields",IF(COUNTIFS($A$7:$A$506,A402)&gt;1,"Duplicate ID",IF(COUNTIFS('Accounts'!$A$7:$A$26,C402,'Accounts'!$B$7:$B$26,D402)&lt;&gt;1,"Check account/currency",IF(OR(I402&lt;0,J402&lt;0,AND(I402&gt;0,J402&gt;0),AND(I402=0,J402=0)),"Check amounts",IF(OR(AND(E402="Income",J402&gt;0),AND(E402="Expense",I402&gt;0),AND(E402="Transfer in",J402&gt;0),AND(E402="Transfer out",I402&gt;0)),"Check type/direction",IF(AND(OR(E402="Transfer in",E402="Transfer out"),M402=""),"Add transfer pair ID",IF(AND(OR(E402="Transfer in",E402="Transfer out"),COUNTIFS($M$7:$M$506,M402,$D$7:$D$506,D402)&lt;&gt;2),"Check transfer pair",IF(AND(E402="Expense",K402=""),"Assign budget fund",IF(AND(E402="Expense",L402=""),"Add receipt / proof",""))))))))))</x:f>
      </x:c>
    </x:row>
    <x:row r="403" ht="24" customHeight="1">
      <x:c r="A403" s="10"/>
      <x:c r="B403" s="5"/>
      <x:c r="C403" s="10"/>
      <x:c r="D403" s="10"/>
      <x:c r="E403" s="10"/>
      <x:c r="F403" s="10"/>
      <x:c r="G403" s="10"/>
      <x:c r="H403" s="10"/>
      <x:c r="I403" s="11"/>
      <x:c r="J403" s="11"/>
      <x:c r="K403" s="10"/>
      <x:c r="L403" s="10"/>
      <x:c r="M403" s="10"/>
      <x:c r="N403" s="10"/>
      <x:c r="O403" s="1" t="str">
        <x:f>IF(COUNTA(A403:N403)=0,"",IF(OR(A403="",B403="",C403="",NOT(ISNUMBER(D403)),NOT(ISNUMBER(E403))),"Complete required fields",IF(COUNTIFS($A$7:$A$506,A403)&gt;1,"Duplicate ID",IF(COUNTIFS('Accounts'!$A$7:$A$26,C403,'Accounts'!$B$7:$B$26,D403)&lt;&gt;1,"Check account/currency",IF(OR(I403&lt;0,J403&lt;0,AND(I403&gt;0,J403&gt;0),AND(I403=0,J403=0)),"Check amounts",IF(OR(AND(E403="Income",J403&gt;0),AND(E403="Expense",I403&gt;0),AND(E403="Transfer in",J403&gt;0),AND(E403="Transfer out",I403&gt;0)),"Check type/direction",IF(AND(OR(E403="Transfer in",E403="Transfer out"),M403=""),"Add transfer pair ID",IF(AND(OR(E403="Transfer in",E403="Transfer out"),COUNTIFS($M$7:$M$506,M403,$D$7:$D$506,D403)&lt;&gt;2),"Check transfer pair",IF(AND(E403="Expense",K403=""),"Assign budget fund",IF(AND(E403="Expense",L403=""),"Add receipt / proof",""))))))))))</x:f>
      </x:c>
    </x:row>
    <x:row r="404" ht="24" customHeight="1">
      <x:c r="A404" s="10"/>
      <x:c r="B404" s="5"/>
      <x:c r="C404" s="10"/>
      <x:c r="D404" s="10"/>
      <x:c r="E404" s="10"/>
      <x:c r="F404" s="10"/>
      <x:c r="G404" s="10"/>
      <x:c r="H404" s="10"/>
      <x:c r="I404" s="11"/>
      <x:c r="J404" s="11"/>
      <x:c r="K404" s="10"/>
      <x:c r="L404" s="10"/>
      <x:c r="M404" s="10"/>
      <x:c r="N404" s="10"/>
      <x:c r="O404" s="1" t="str">
        <x:f>IF(COUNTA(A404:N404)=0,"",IF(OR(A404="",B404="",C404="",NOT(ISNUMBER(D404)),NOT(ISNUMBER(E404))),"Complete required fields",IF(COUNTIFS($A$7:$A$506,A404)&gt;1,"Duplicate ID",IF(COUNTIFS('Accounts'!$A$7:$A$26,C404,'Accounts'!$B$7:$B$26,D404)&lt;&gt;1,"Check account/currency",IF(OR(I404&lt;0,J404&lt;0,AND(I404&gt;0,J404&gt;0),AND(I404=0,J404=0)),"Check amounts",IF(OR(AND(E404="Income",J404&gt;0),AND(E404="Expense",I404&gt;0),AND(E404="Transfer in",J404&gt;0),AND(E404="Transfer out",I404&gt;0)),"Check type/direction",IF(AND(OR(E404="Transfer in",E404="Transfer out"),M404=""),"Add transfer pair ID",IF(AND(OR(E404="Transfer in",E404="Transfer out"),COUNTIFS($M$7:$M$506,M404,$D$7:$D$506,D404)&lt;&gt;2),"Check transfer pair",IF(AND(E404="Expense",K404=""),"Assign budget fund",IF(AND(E404="Expense",L404=""),"Add receipt / proof",""))))))))))</x:f>
      </x:c>
    </x:row>
    <x:row r="405" ht="24" customHeight="1">
      <x:c r="A405" s="10"/>
      <x:c r="B405" s="5"/>
      <x:c r="C405" s="10"/>
      <x:c r="D405" s="10"/>
      <x:c r="E405" s="10"/>
      <x:c r="F405" s="10"/>
      <x:c r="G405" s="10"/>
      <x:c r="H405" s="10"/>
      <x:c r="I405" s="11"/>
      <x:c r="J405" s="11"/>
      <x:c r="K405" s="10"/>
      <x:c r="L405" s="10"/>
      <x:c r="M405" s="10"/>
      <x:c r="N405" s="10"/>
      <x:c r="O405" s="1" t="str">
        <x:f>IF(COUNTA(A405:N405)=0,"",IF(OR(A405="",B405="",C405="",NOT(ISNUMBER(D405)),NOT(ISNUMBER(E405))),"Complete required fields",IF(COUNTIFS($A$7:$A$506,A405)&gt;1,"Duplicate ID",IF(COUNTIFS('Accounts'!$A$7:$A$26,C405,'Accounts'!$B$7:$B$26,D405)&lt;&gt;1,"Check account/currency",IF(OR(I405&lt;0,J405&lt;0,AND(I405&gt;0,J405&gt;0),AND(I405=0,J405=0)),"Check amounts",IF(OR(AND(E405="Income",J405&gt;0),AND(E405="Expense",I405&gt;0),AND(E405="Transfer in",J405&gt;0),AND(E405="Transfer out",I405&gt;0)),"Check type/direction",IF(AND(OR(E405="Transfer in",E405="Transfer out"),M405=""),"Add transfer pair ID",IF(AND(OR(E405="Transfer in",E405="Transfer out"),COUNTIFS($M$7:$M$506,M405,$D$7:$D$506,D405)&lt;&gt;2),"Check transfer pair",IF(AND(E405="Expense",K405=""),"Assign budget fund",IF(AND(E405="Expense",L405=""),"Add receipt / proof",""))))))))))</x:f>
      </x:c>
    </x:row>
    <x:row r="406" ht="24" customHeight="1">
      <x:c r="A406" s="10"/>
      <x:c r="B406" s="5"/>
      <x:c r="C406" s="10"/>
      <x:c r="D406" s="10"/>
      <x:c r="E406" s="10"/>
      <x:c r="F406" s="10"/>
      <x:c r="G406" s="10"/>
      <x:c r="H406" s="10"/>
      <x:c r="I406" s="11"/>
      <x:c r="J406" s="11"/>
      <x:c r="K406" s="10"/>
      <x:c r="L406" s="10"/>
      <x:c r="M406" s="10"/>
      <x:c r="N406" s="10"/>
      <x:c r="O406" s="1" t="str">
        <x:f>IF(COUNTA(A406:N406)=0,"",IF(OR(A406="",B406="",C406="",NOT(ISNUMBER(D406)),NOT(ISNUMBER(E406))),"Complete required fields",IF(COUNTIFS($A$7:$A$506,A406)&gt;1,"Duplicate ID",IF(COUNTIFS('Accounts'!$A$7:$A$26,C406,'Accounts'!$B$7:$B$26,D406)&lt;&gt;1,"Check account/currency",IF(OR(I406&lt;0,J406&lt;0,AND(I406&gt;0,J406&gt;0),AND(I406=0,J406=0)),"Check amounts",IF(OR(AND(E406="Income",J406&gt;0),AND(E406="Expense",I406&gt;0),AND(E406="Transfer in",J406&gt;0),AND(E406="Transfer out",I406&gt;0)),"Check type/direction",IF(AND(OR(E406="Transfer in",E406="Transfer out"),M406=""),"Add transfer pair ID",IF(AND(OR(E406="Transfer in",E406="Transfer out"),COUNTIFS($M$7:$M$506,M406,$D$7:$D$506,D406)&lt;&gt;2),"Check transfer pair",IF(AND(E406="Expense",K406=""),"Assign budget fund",IF(AND(E406="Expense",L406=""),"Add receipt / proof",""))))))))))</x:f>
      </x:c>
    </x:row>
    <x:row r="407" ht="24" customHeight="1">
      <x:c r="A407" s="10"/>
      <x:c r="B407" s="5"/>
      <x:c r="C407" s="10"/>
      <x:c r="D407" s="10"/>
      <x:c r="E407" s="10"/>
      <x:c r="F407" s="10"/>
      <x:c r="G407" s="10"/>
      <x:c r="H407" s="10"/>
      <x:c r="I407" s="11"/>
      <x:c r="J407" s="11"/>
      <x:c r="K407" s="10"/>
      <x:c r="L407" s="10"/>
      <x:c r="M407" s="10"/>
      <x:c r="N407" s="10"/>
      <x:c r="O407" s="1" t="str">
        <x:f>IF(COUNTA(A407:N407)=0,"",IF(OR(A407="",B407="",C407="",NOT(ISNUMBER(D407)),NOT(ISNUMBER(E407))),"Complete required fields",IF(COUNTIFS($A$7:$A$506,A407)&gt;1,"Duplicate ID",IF(COUNTIFS('Accounts'!$A$7:$A$26,C407,'Accounts'!$B$7:$B$26,D407)&lt;&gt;1,"Check account/currency",IF(OR(I407&lt;0,J407&lt;0,AND(I407&gt;0,J407&gt;0),AND(I407=0,J407=0)),"Check amounts",IF(OR(AND(E407="Income",J407&gt;0),AND(E407="Expense",I407&gt;0),AND(E407="Transfer in",J407&gt;0),AND(E407="Transfer out",I407&gt;0)),"Check type/direction",IF(AND(OR(E407="Transfer in",E407="Transfer out"),M407=""),"Add transfer pair ID",IF(AND(OR(E407="Transfer in",E407="Transfer out"),COUNTIFS($M$7:$M$506,M407,$D$7:$D$506,D407)&lt;&gt;2),"Check transfer pair",IF(AND(E407="Expense",K407=""),"Assign budget fund",IF(AND(E407="Expense",L407=""),"Add receipt / proof",""))))))))))</x:f>
      </x:c>
    </x:row>
    <x:row r="408" ht="24" customHeight="1">
      <x:c r="A408" s="10"/>
      <x:c r="B408" s="5"/>
      <x:c r="C408" s="10"/>
      <x:c r="D408" s="10"/>
      <x:c r="E408" s="10"/>
      <x:c r="F408" s="10"/>
      <x:c r="G408" s="10"/>
      <x:c r="H408" s="10"/>
      <x:c r="I408" s="11"/>
      <x:c r="J408" s="11"/>
      <x:c r="K408" s="10"/>
      <x:c r="L408" s="10"/>
      <x:c r="M408" s="10"/>
      <x:c r="N408" s="10"/>
      <x:c r="O408" s="1" t="str">
        <x:f>IF(COUNTA(A408:N408)=0,"",IF(OR(A408="",B408="",C408="",NOT(ISNUMBER(D408)),NOT(ISNUMBER(E408))),"Complete required fields",IF(COUNTIFS($A$7:$A$506,A408)&gt;1,"Duplicate ID",IF(COUNTIFS('Accounts'!$A$7:$A$26,C408,'Accounts'!$B$7:$B$26,D408)&lt;&gt;1,"Check account/currency",IF(OR(I408&lt;0,J408&lt;0,AND(I408&gt;0,J408&gt;0),AND(I408=0,J408=0)),"Check amounts",IF(OR(AND(E408="Income",J408&gt;0),AND(E408="Expense",I408&gt;0),AND(E408="Transfer in",J408&gt;0),AND(E408="Transfer out",I408&gt;0)),"Check type/direction",IF(AND(OR(E408="Transfer in",E408="Transfer out"),M408=""),"Add transfer pair ID",IF(AND(OR(E408="Transfer in",E408="Transfer out"),COUNTIFS($M$7:$M$506,M408,$D$7:$D$506,D408)&lt;&gt;2),"Check transfer pair",IF(AND(E408="Expense",K408=""),"Assign budget fund",IF(AND(E408="Expense",L408=""),"Add receipt / proof",""))))))))))</x:f>
      </x:c>
    </x:row>
    <x:row r="409" ht="24" customHeight="1">
      <x:c r="A409" s="10"/>
      <x:c r="B409" s="5"/>
      <x:c r="C409" s="10"/>
      <x:c r="D409" s="10"/>
      <x:c r="E409" s="10"/>
      <x:c r="F409" s="10"/>
      <x:c r="G409" s="10"/>
      <x:c r="H409" s="10"/>
      <x:c r="I409" s="11"/>
      <x:c r="J409" s="11"/>
      <x:c r="K409" s="10"/>
      <x:c r="L409" s="10"/>
      <x:c r="M409" s="10"/>
      <x:c r="N409" s="10"/>
      <x:c r="O409" s="1" t="str">
        <x:f>IF(COUNTA(A409:N409)=0,"",IF(OR(A409="",B409="",C409="",NOT(ISNUMBER(D409)),NOT(ISNUMBER(E409))),"Complete required fields",IF(COUNTIFS($A$7:$A$506,A409)&gt;1,"Duplicate ID",IF(COUNTIFS('Accounts'!$A$7:$A$26,C409,'Accounts'!$B$7:$B$26,D409)&lt;&gt;1,"Check account/currency",IF(OR(I409&lt;0,J409&lt;0,AND(I409&gt;0,J409&gt;0),AND(I409=0,J409=0)),"Check amounts",IF(OR(AND(E409="Income",J409&gt;0),AND(E409="Expense",I409&gt;0),AND(E409="Transfer in",J409&gt;0),AND(E409="Transfer out",I409&gt;0)),"Check type/direction",IF(AND(OR(E409="Transfer in",E409="Transfer out"),M409=""),"Add transfer pair ID",IF(AND(OR(E409="Transfer in",E409="Transfer out"),COUNTIFS($M$7:$M$506,M409,$D$7:$D$506,D409)&lt;&gt;2),"Check transfer pair",IF(AND(E409="Expense",K409=""),"Assign budget fund",IF(AND(E409="Expense",L409=""),"Add receipt / proof",""))))))))))</x:f>
      </x:c>
    </x:row>
    <x:row r="410" ht="24" customHeight="1">
      <x:c r="A410" s="10"/>
      <x:c r="B410" s="5"/>
      <x:c r="C410" s="10"/>
      <x:c r="D410" s="10"/>
      <x:c r="E410" s="10"/>
      <x:c r="F410" s="10"/>
      <x:c r="G410" s="10"/>
      <x:c r="H410" s="10"/>
      <x:c r="I410" s="11"/>
      <x:c r="J410" s="11"/>
      <x:c r="K410" s="10"/>
      <x:c r="L410" s="10"/>
      <x:c r="M410" s="10"/>
      <x:c r="N410" s="10"/>
      <x:c r="O410" s="1" t="str">
        <x:f>IF(COUNTA(A410:N410)=0,"",IF(OR(A410="",B410="",C410="",NOT(ISNUMBER(D410)),NOT(ISNUMBER(E410))),"Complete required fields",IF(COUNTIFS($A$7:$A$506,A410)&gt;1,"Duplicate ID",IF(COUNTIFS('Accounts'!$A$7:$A$26,C410,'Accounts'!$B$7:$B$26,D410)&lt;&gt;1,"Check account/currency",IF(OR(I410&lt;0,J410&lt;0,AND(I410&gt;0,J410&gt;0),AND(I410=0,J410=0)),"Check amounts",IF(OR(AND(E410="Income",J410&gt;0),AND(E410="Expense",I410&gt;0),AND(E410="Transfer in",J410&gt;0),AND(E410="Transfer out",I410&gt;0)),"Check type/direction",IF(AND(OR(E410="Transfer in",E410="Transfer out"),M410=""),"Add transfer pair ID",IF(AND(OR(E410="Transfer in",E410="Transfer out"),COUNTIFS($M$7:$M$506,M410,$D$7:$D$506,D410)&lt;&gt;2),"Check transfer pair",IF(AND(E410="Expense",K410=""),"Assign budget fund",IF(AND(E410="Expense",L410=""),"Add receipt / proof",""))))))))))</x:f>
      </x:c>
    </x:row>
    <x:row r="411" ht="24" customHeight="1">
      <x:c r="A411" s="10"/>
      <x:c r="B411" s="5"/>
      <x:c r="C411" s="10"/>
      <x:c r="D411" s="10"/>
      <x:c r="E411" s="10"/>
      <x:c r="F411" s="10"/>
      <x:c r="G411" s="10"/>
      <x:c r="H411" s="10"/>
      <x:c r="I411" s="11"/>
      <x:c r="J411" s="11"/>
      <x:c r="K411" s="10"/>
      <x:c r="L411" s="10"/>
      <x:c r="M411" s="10"/>
      <x:c r="N411" s="10"/>
      <x:c r="O411" s="1" t="str">
        <x:f>IF(COUNTA(A411:N411)=0,"",IF(OR(A411="",B411="",C411="",NOT(ISNUMBER(D411)),NOT(ISNUMBER(E411))),"Complete required fields",IF(COUNTIFS($A$7:$A$506,A411)&gt;1,"Duplicate ID",IF(COUNTIFS('Accounts'!$A$7:$A$26,C411,'Accounts'!$B$7:$B$26,D411)&lt;&gt;1,"Check account/currency",IF(OR(I411&lt;0,J411&lt;0,AND(I411&gt;0,J411&gt;0),AND(I411=0,J411=0)),"Check amounts",IF(OR(AND(E411="Income",J411&gt;0),AND(E411="Expense",I411&gt;0),AND(E411="Transfer in",J411&gt;0),AND(E411="Transfer out",I411&gt;0)),"Check type/direction",IF(AND(OR(E411="Transfer in",E411="Transfer out"),M411=""),"Add transfer pair ID",IF(AND(OR(E411="Transfer in",E411="Transfer out"),COUNTIFS($M$7:$M$506,M411,$D$7:$D$506,D411)&lt;&gt;2),"Check transfer pair",IF(AND(E411="Expense",K411=""),"Assign budget fund",IF(AND(E411="Expense",L411=""),"Add receipt / proof",""))))))))))</x:f>
      </x:c>
    </x:row>
    <x:row r="412" ht="24" customHeight="1">
      <x:c r="A412" s="10"/>
      <x:c r="B412" s="5"/>
      <x:c r="C412" s="10"/>
      <x:c r="D412" s="10"/>
      <x:c r="E412" s="10"/>
      <x:c r="F412" s="10"/>
      <x:c r="G412" s="10"/>
      <x:c r="H412" s="10"/>
      <x:c r="I412" s="11"/>
      <x:c r="J412" s="11"/>
      <x:c r="K412" s="10"/>
      <x:c r="L412" s="10"/>
      <x:c r="M412" s="10"/>
      <x:c r="N412" s="10"/>
      <x:c r="O412" s="1" t="str">
        <x:f>IF(COUNTA(A412:N412)=0,"",IF(OR(A412="",B412="",C412="",NOT(ISNUMBER(D412)),NOT(ISNUMBER(E412))),"Complete required fields",IF(COUNTIFS($A$7:$A$506,A412)&gt;1,"Duplicate ID",IF(COUNTIFS('Accounts'!$A$7:$A$26,C412,'Accounts'!$B$7:$B$26,D412)&lt;&gt;1,"Check account/currency",IF(OR(I412&lt;0,J412&lt;0,AND(I412&gt;0,J412&gt;0),AND(I412=0,J412=0)),"Check amounts",IF(OR(AND(E412="Income",J412&gt;0),AND(E412="Expense",I412&gt;0),AND(E412="Transfer in",J412&gt;0),AND(E412="Transfer out",I412&gt;0)),"Check type/direction",IF(AND(OR(E412="Transfer in",E412="Transfer out"),M412=""),"Add transfer pair ID",IF(AND(OR(E412="Transfer in",E412="Transfer out"),COUNTIFS($M$7:$M$506,M412,$D$7:$D$506,D412)&lt;&gt;2),"Check transfer pair",IF(AND(E412="Expense",K412=""),"Assign budget fund",IF(AND(E412="Expense",L412=""),"Add receipt / proof",""))))))))))</x:f>
      </x:c>
    </x:row>
    <x:row r="413" ht="24" customHeight="1">
      <x:c r="A413" s="10"/>
      <x:c r="B413" s="5"/>
      <x:c r="C413" s="10"/>
      <x:c r="D413" s="10"/>
      <x:c r="E413" s="10"/>
      <x:c r="F413" s="10"/>
      <x:c r="G413" s="10"/>
      <x:c r="H413" s="10"/>
      <x:c r="I413" s="11"/>
      <x:c r="J413" s="11"/>
      <x:c r="K413" s="10"/>
      <x:c r="L413" s="10"/>
      <x:c r="M413" s="10"/>
      <x:c r="N413" s="10"/>
      <x:c r="O413" s="1" t="str">
        <x:f>IF(COUNTA(A413:N413)=0,"",IF(OR(A413="",B413="",C413="",NOT(ISNUMBER(D413)),NOT(ISNUMBER(E413))),"Complete required fields",IF(COUNTIFS($A$7:$A$506,A413)&gt;1,"Duplicate ID",IF(COUNTIFS('Accounts'!$A$7:$A$26,C413,'Accounts'!$B$7:$B$26,D413)&lt;&gt;1,"Check account/currency",IF(OR(I413&lt;0,J413&lt;0,AND(I413&gt;0,J413&gt;0),AND(I413=0,J413=0)),"Check amounts",IF(OR(AND(E413="Income",J413&gt;0),AND(E413="Expense",I413&gt;0),AND(E413="Transfer in",J413&gt;0),AND(E413="Transfer out",I413&gt;0)),"Check type/direction",IF(AND(OR(E413="Transfer in",E413="Transfer out"),M413=""),"Add transfer pair ID",IF(AND(OR(E413="Transfer in",E413="Transfer out"),COUNTIFS($M$7:$M$506,M413,$D$7:$D$506,D413)&lt;&gt;2),"Check transfer pair",IF(AND(E413="Expense",K413=""),"Assign budget fund",IF(AND(E413="Expense",L413=""),"Add receipt / proof",""))))))))))</x:f>
      </x:c>
    </x:row>
    <x:row r="414" ht="24" customHeight="1">
      <x:c r="A414" s="10"/>
      <x:c r="B414" s="5"/>
      <x:c r="C414" s="10"/>
      <x:c r="D414" s="10"/>
      <x:c r="E414" s="10"/>
      <x:c r="F414" s="10"/>
      <x:c r="G414" s="10"/>
      <x:c r="H414" s="10"/>
      <x:c r="I414" s="11"/>
      <x:c r="J414" s="11"/>
      <x:c r="K414" s="10"/>
      <x:c r="L414" s="10"/>
      <x:c r="M414" s="10"/>
      <x:c r="N414" s="10"/>
      <x:c r="O414" s="1" t="str">
        <x:f>IF(COUNTA(A414:N414)=0,"",IF(OR(A414="",B414="",C414="",NOT(ISNUMBER(D414)),NOT(ISNUMBER(E414))),"Complete required fields",IF(COUNTIFS($A$7:$A$506,A414)&gt;1,"Duplicate ID",IF(COUNTIFS('Accounts'!$A$7:$A$26,C414,'Accounts'!$B$7:$B$26,D414)&lt;&gt;1,"Check account/currency",IF(OR(I414&lt;0,J414&lt;0,AND(I414&gt;0,J414&gt;0),AND(I414=0,J414=0)),"Check amounts",IF(OR(AND(E414="Income",J414&gt;0),AND(E414="Expense",I414&gt;0),AND(E414="Transfer in",J414&gt;0),AND(E414="Transfer out",I414&gt;0)),"Check type/direction",IF(AND(OR(E414="Transfer in",E414="Transfer out"),M414=""),"Add transfer pair ID",IF(AND(OR(E414="Transfer in",E414="Transfer out"),COUNTIFS($M$7:$M$506,M414,$D$7:$D$506,D414)&lt;&gt;2),"Check transfer pair",IF(AND(E414="Expense",K414=""),"Assign budget fund",IF(AND(E414="Expense",L414=""),"Add receipt / proof",""))))))))))</x:f>
      </x:c>
    </x:row>
    <x:row r="415" ht="24" customHeight="1">
      <x:c r="A415" s="10"/>
      <x:c r="B415" s="5"/>
      <x:c r="C415" s="10"/>
      <x:c r="D415" s="10"/>
      <x:c r="E415" s="10"/>
      <x:c r="F415" s="10"/>
      <x:c r="G415" s="10"/>
      <x:c r="H415" s="10"/>
      <x:c r="I415" s="11"/>
      <x:c r="J415" s="11"/>
      <x:c r="K415" s="10"/>
      <x:c r="L415" s="10"/>
      <x:c r="M415" s="10"/>
      <x:c r="N415" s="10"/>
      <x:c r="O415" s="1" t="str">
        <x:f>IF(COUNTA(A415:N415)=0,"",IF(OR(A415="",B415="",C415="",NOT(ISNUMBER(D415)),NOT(ISNUMBER(E415))),"Complete required fields",IF(COUNTIFS($A$7:$A$506,A415)&gt;1,"Duplicate ID",IF(COUNTIFS('Accounts'!$A$7:$A$26,C415,'Accounts'!$B$7:$B$26,D415)&lt;&gt;1,"Check account/currency",IF(OR(I415&lt;0,J415&lt;0,AND(I415&gt;0,J415&gt;0),AND(I415=0,J415=0)),"Check amounts",IF(OR(AND(E415="Income",J415&gt;0),AND(E415="Expense",I415&gt;0),AND(E415="Transfer in",J415&gt;0),AND(E415="Transfer out",I415&gt;0)),"Check type/direction",IF(AND(OR(E415="Transfer in",E415="Transfer out"),M415=""),"Add transfer pair ID",IF(AND(OR(E415="Transfer in",E415="Transfer out"),COUNTIFS($M$7:$M$506,M415,$D$7:$D$506,D415)&lt;&gt;2),"Check transfer pair",IF(AND(E415="Expense",K415=""),"Assign budget fund",IF(AND(E415="Expense",L415=""),"Add receipt / proof",""))))))))))</x:f>
      </x:c>
    </x:row>
    <x:row r="416" ht="24" customHeight="1">
      <x:c r="A416" s="10"/>
      <x:c r="B416" s="5"/>
      <x:c r="C416" s="10"/>
      <x:c r="D416" s="10"/>
      <x:c r="E416" s="10"/>
      <x:c r="F416" s="10"/>
      <x:c r="G416" s="10"/>
      <x:c r="H416" s="10"/>
      <x:c r="I416" s="11"/>
      <x:c r="J416" s="11"/>
      <x:c r="K416" s="10"/>
      <x:c r="L416" s="10"/>
      <x:c r="M416" s="10"/>
      <x:c r="N416" s="10"/>
      <x:c r="O416" s="1" t="str">
        <x:f>IF(COUNTA(A416:N416)=0,"",IF(OR(A416="",B416="",C416="",NOT(ISNUMBER(D416)),NOT(ISNUMBER(E416))),"Complete required fields",IF(COUNTIFS($A$7:$A$506,A416)&gt;1,"Duplicate ID",IF(COUNTIFS('Accounts'!$A$7:$A$26,C416,'Accounts'!$B$7:$B$26,D416)&lt;&gt;1,"Check account/currency",IF(OR(I416&lt;0,J416&lt;0,AND(I416&gt;0,J416&gt;0),AND(I416=0,J416=0)),"Check amounts",IF(OR(AND(E416="Income",J416&gt;0),AND(E416="Expense",I416&gt;0),AND(E416="Transfer in",J416&gt;0),AND(E416="Transfer out",I416&gt;0)),"Check type/direction",IF(AND(OR(E416="Transfer in",E416="Transfer out"),M416=""),"Add transfer pair ID",IF(AND(OR(E416="Transfer in",E416="Transfer out"),COUNTIFS($M$7:$M$506,M416,$D$7:$D$506,D416)&lt;&gt;2),"Check transfer pair",IF(AND(E416="Expense",K416=""),"Assign budget fund",IF(AND(E416="Expense",L416=""),"Add receipt / proof",""))))))))))</x:f>
      </x:c>
    </x:row>
    <x:row r="417" ht="24" customHeight="1">
      <x:c r="A417" s="10"/>
      <x:c r="B417" s="5"/>
      <x:c r="C417" s="10"/>
      <x:c r="D417" s="10"/>
      <x:c r="E417" s="10"/>
      <x:c r="F417" s="10"/>
      <x:c r="G417" s="10"/>
      <x:c r="H417" s="10"/>
      <x:c r="I417" s="11"/>
      <x:c r="J417" s="11"/>
      <x:c r="K417" s="10"/>
      <x:c r="L417" s="10"/>
      <x:c r="M417" s="10"/>
      <x:c r="N417" s="10"/>
      <x:c r="O417" s="1" t="str">
        <x:f>IF(COUNTA(A417:N417)=0,"",IF(OR(A417="",B417="",C417="",NOT(ISNUMBER(D417)),NOT(ISNUMBER(E417))),"Complete required fields",IF(COUNTIFS($A$7:$A$506,A417)&gt;1,"Duplicate ID",IF(COUNTIFS('Accounts'!$A$7:$A$26,C417,'Accounts'!$B$7:$B$26,D417)&lt;&gt;1,"Check account/currency",IF(OR(I417&lt;0,J417&lt;0,AND(I417&gt;0,J417&gt;0),AND(I417=0,J417=0)),"Check amounts",IF(OR(AND(E417="Income",J417&gt;0),AND(E417="Expense",I417&gt;0),AND(E417="Transfer in",J417&gt;0),AND(E417="Transfer out",I417&gt;0)),"Check type/direction",IF(AND(OR(E417="Transfer in",E417="Transfer out"),M417=""),"Add transfer pair ID",IF(AND(OR(E417="Transfer in",E417="Transfer out"),COUNTIFS($M$7:$M$506,M417,$D$7:$D$506,D417)&lt;&gt;2),"Check transfer pair",IF(AND(E417="Expense",K417=""),"Assign budget fund",IF(AND(E417="Expense",L417=""),"Add receipt / proof",""))))))))))</x:f>
      </x:c>
    </x:row>
    <x:row r="418" ht="24" customHeight="1">
      <x:c r="A418" s="10"/>
      <x:c r="B418" s="5"/>
      <x:c r="C418" s="10"/>
      <x:c r="D418" s="10"/>
      <x:c r="E418" s="10"/>
      <x:c r="F418" s="10"/>
      <x:c r="G418" s="10"/>
      <x:c r="H418" s="10"/>
      <x:c r="I418" s="11"/>
      <x:c r="J418" s="11"/>
      <x:c r="K418" s="10"/>
      <x:c r="L418" s="10"/>
      <x:c r="M418" s="10"/>
      <x:c r="N418" s="10"/>
      <x:c r="O418" s="1" t="str">
        <x:f>IF(COUNTA(A418:N418)=0,"",IF(OR(A418="",B418="",C418="",NOT(ISNUMBER(D418)),NOT(ISNUMBER(E418))),"Complete required fields",IF(COUNTIFS($A$7:$A$506,A418)&gt;1,"Duplicate ID",IF(COUNTIFS('Accounts'!$A$7:$A$26,C418,'Accounts'!$B$7:$B$26,D418)&lt;&gt;1,"Check account/currency",IF(OR(I418&lt;0,J418&lt;0,AND(I418&gt;0,J418&gt;0),AND(I418=0,J418=0)),"Check amounts",IF(OR(AND(E418="Income",J418&gt;0),AND(E418="Expense",I418&gt;0),AND(E418="Transfer in",J418&gt;0),AND(E418="Transfer out",I418&gt;0)),"Check type/direction",IF(AND(OR(E418="Transfer in",E418="Transfer out"),M418=""),"Add transfer pair ID",IF(AND(OR(E418="Transfer in",E418="Transfer out"),COUNTIFS($M$7:$M$506,M418,$D$7:$D$506,D418)&lt;&gt;2),"Check transfer pair",IF(AND(E418="Expense",K418=""),"Assign budget fund",IF(AND(E418="Expense",L418=""),"Add receipt / proof",""))))))))))</x:f>
      </x:c>
    </x:row>
    <x:row r="419" ht="24" customHeight="1">
      <x:c r="A419" s="10"/>
      <x:c r="B419" s="5"/>
      <x:c r="C419" s="10"/>
      <x:c r="D419" s="10"/>
      <x:c r="E419" s="10"/>
      <x:c r="F419" s="10"/>
      <x:c r="G419" s="10"/>
      <x:c r="H419" s="10"/>
      <x:c r="I419" s="11"/>
      <x:c r="J419" s="11"/>
      <x:c r="K419" s="10"/>
      <x:c r="L419" s="10"/>
      <x:c r="M419" s="10"/>
      <x:c r="N419" s="10"/>
      <x:c r="O419" s="1" t="str">
        <x:f>IF(COUNTA(A419:N419)=0,"",IF(OR(A419="",B419="",C419="",NOT(ISNUMBER(D419)),NOT(ISNUMBER(E419))),"Complete required fields",IF(COUNTIFS($A$7:$A$506,A419)&gt;1,"Duplicate ID",IF(COUNTIFS('Accounts'!$A$7:$A$26,C419,'Accounts'!$B$7:$B$26,D419)&lt;&gt;1,"Check account/currency",IF(OR(I419&lt;0,J419&lt;0,AND(I419&gt;0,J419&gt;0),AND(I419=0,J419=0)),"Check amounts",IF(OR(AND(E419="Income",J419&gt;0),AND(E419="Expense",I419&gt;0),AND(E419="Transfer in",J419&gt;0),AND(E419="Transfer out",I419&gt;0)),"Check type/direction",IF(AND(OR(E419="Transfer in",E419="Transfer out"),M419=""),"Add transfer pair ID",IF(AND(OR(E419="Transfer in",E419="Transfer out"),COUNTIFS($M$7:$M$506,M419,$D$7:$D$506,D419)&lt;&gt;2),"Check transfer pair",IF(AND(E419="Expense",K419=""),"Assign budget fund",IF(AND(E419="Expense",L419=""),"Add receipt / proof",""))))))))))</x:f>
      </x:c>
    </x:row>
    <x:row r="420" ht="24" customHeight="1">
      <x:c r="A420" s="10"/>
      <x:c r="B420" s="5"/>
      <x:c r="C420" s="10"/>
      <x:c r="D420" s="10"/>
      <x:c r="E420" s="10"/>
      <x:c r="F420" s="10"/>
      <x:c r="G420" s="10"/>
      <x:c r="H420" s="10"/>
      <x:c r="I420" s="11"/>
      <x:c r="J420" s="11"/>
      <x:c r="K420" s="10"/>
      <x:c r="L420" s="10"/>
      <x:c r="M420" s="10"/>
      <x:c r="N420" s="10"/>
      <x:c r="O420" s="1" t="str">
        <x:f>IF(COUNTA(A420:N420)=0,"",IF(OR(A420="",B420="",C420="",NOT(ISNUMBER(D420)),NOT(ISNUMBER(E420))),"Complete required fields",IF(COUNTIFS($A$7:$A$506,A420)&gt;1,"Duplicate ID",IF(COUNTIFS('Accounts'!$A$7:$A$26,C420,'Accounts'!$B$7:$B$26,D420)&lt;&gt;1,"Check account/currency",IF(OR(I420&lt;0,J420&lt;0,AND(I420&gt;0,J420&gt;0),AND(I420=0,J420=0)),"Check amounts",IF(OR(AND(E420="Income",J420&gt;0),AND(E420="Expense",I420&gt;0),AND(E420="Transfer in",J420&gt;0),AND(E420="Transfer out",I420&gt;0)),"Check type/direction",IF(AND(OR(E420="Transfer in",E420="Transfer out"),M420=""),"Add transfer pair ID",IF(AND(OR(E420="Transfer in",E420="Transfer out"),COUNTIFS($M$7:$M$506,M420,$D$7:$D$506,D420)&lt;&gt;2),"Check transfer pair",IF(AND(E420="Expense",K420=""),"Assign budget fund",IF(AND(E420="Expense",L420=""),"Add receipt / proof",""))))))))))</x:f>
      </x:c>
    </x:row>
    <x:row r="421" ht="24" customHeight="1">
      <x:c r="A421" s="10"/>
      <x:c r="B421" s="5"/>
      <x:c r="C421" s="10"/>
      <x:c r="D421" s="10"/>
      <x:c r="E421" s="10"/>
      <x:c r="F421" s="10"/>
      <x:c r="G421" s="10"/>
      <x:c r="H421" s="10"/>
      <x:c r="I421" s="11"/>
      <x:c r="J421" s="11"/>
      <x:c r="K421" s="10"/>
      <x:c r="L421" s="10"/>
      <x:c r="M421" s="10"/>
      <x:c r="N421" s="10"/>
      <x:c r="O421" s="1" t="str">
        <x:f>IF(COUNTA(A421:N421)=0,"",IF(OR(A421="",B421="",C421="",NOT(ISNUMBER(D421)),NOT(ISNUMBER(E421))),"Complete required fields",IF(COUNTIFS($A$7:$A$506,A421)&gt;1,"Duplicate ID",IF(COUNTIFS('Accounts'!$A$7:$A$26,C421,'Accounts'!$B$7:$B$26,D421)&lt;&gt;1,"Check account/currency",IF(OR(I421&lt;0,J421&lt;0,AND(I421&gt;0,J421&gt;0),AND(I421=0,J421=0)),"Check amounts",IF(OR(AND(E421="Income",J421&gt;0),AND(E421="Expense",I421&gt;0),AND(E421="Transfer in",J421&gt;0),AND(E421="Transfer out",I421&gt;0)),"Check type/direction",IF(AND(OR(E421="Transfer in",E421="Transfer out"),M421=""),"Add transfer pair ID",IF(AND(OR(E421="Transfer in",E421="Transfer out"),COUNTIFS($M$7:$M$506,M421,$D$7:$D$506,D421)&lt;&gt;2),"Check transfer pair",IF(AND(E421="Expense",K421=""),"Assign budget fund",IF(AND(E421="Expense",L421=""),"Add receipt / proof",""))))))))))</x:f>
      </x:c>
    </x:row>
    <x:row r="422" ht="24" customHeight="1">
      <x:c r="A422" s="10"/>
      <x:c r="B422" s="5"/>
      <x:c r="C422" s="10"/>
      <x:c r="D422" s="10"/>
      <x:c r="E422" s="10"/>
      <x:c r="F422" s="10"/>
      <x:c r="G422" s="10"/>
      <x:c r="H422" s="10"/>
      <x:c r="I422" s="11"/>
      <x:c r="J422" s="11"/>
      <x:c r="K422" s="10"/>
      <x:c r="L422" s="10"/>
      <x:c r="M422" s="10"/>
      <x:c r="N422" s="10"/>
      <x:c r="O422" s="1" t="str">
        <x:f>IF(COUNTA(A422:N422)=0,"",IF(OR(A422="",B422="",C422="",NOT(ISNUMBER(D422)),NOT(ISNUMBER(E422))),"Complete required fields",IF(COUNTIFS($A$7:$A$506,A422)&gt;1,"Duplicate ID",IF(COUNTIFS('Accounts'!$A$7:$A$26,C422,'Accounts'!$B$7:$B$26,D422)&lt;&gt;1,"Check account/currency",IF(OR(I422&lt;0,J422&lt;0,AND(I422&gt;0,J422&gt;0),AND(I422=0,J422=0)),"Check amounts",IF(OR(AND(E422="Income",J422&gt;0),AND(E422="Expense",I422&gt;0),AND(E422="Transfer in",J422&gt;0),AND(E422="Transfer out",I422&gt;0)),"Check type/direction",IF(AND(OR(E422="Transfer in",E422="Transfer out"),M422=""),"Add transfer pair ID",IF(AND(OR(E422="Transfer in",E422="Transfer out"),COUNTIFS($M$7:$M$506,M422,$D$7:$D$506,D422)&lt;&gt;2),"Check transfer pair",IF(AND(E422="Expense",K422=""),"Assign budget fund",IF(AND(E422="Expense",L422=""),"Add receipt / proof",""))))))))))</x:f>
      </x:c>
    </x:row>
    <x:row r="423" ht="24" customHeight="1">
      <x:c r="A423" s="10"/>
      <x:c r="B423" s="5"/>
      <x:c r="C423" s="10"/>
      <x:c r="D423" s="10"/>
      <x:c r="E423" s="10"/>
      <x:c r="F423" s="10"/>
      <x:c r="G423" s="10"/>
      <x:c r="H423" s="10"/>
      <x:c r="I423" s="11"/>
      <x:c r="J423" s="11"/>
      <x:c r="K423" s="10"/>
      <x:c r="L423" s="10"/>
      <x:c r="M423" s="10"/>
      <x:c r="N423" s="10"/>
      <x:c r="O423" s="1" t="str">
        <x:f>IF(COUNTA(A423:N423)=0,"",IF(OR(A423="",B423="",C423="",NOT(ISNUMBER(D423)),NOT(ISNUMBER(E423))),"Complete required fields",IF(COUNTIFS($A$7:$A$506,A423)&gt;1,"Duplicate ID",IF(COUNTIFS('Accounts'!$A$7:$A$26,C423,'Accounts'!$B$7:$B$26,D423)&lt;&gt;1,"Check account/currency",IF(OR(I423&lt;0,J423&lt;0,AND(I423&gt;0,J423&gt;0),AND(I423=0,J423=0)),"Check amounts",IF(OR(AND(E423="Income",J423&gt;0),AND(E423="Expense",I423&gt;0),AND(E423="Transfer in",J423&gt;0),AND(E423="Transfer out",I423&gt;0)),"Check type/direction",IF(AND(OR(E423="Transfer in",E423="Transfer out"),M423=""),"Add transfer pair ID",IF(AND(OR(E423="Transfer in",E423="Transfer out"),COUNTIFS($M$7:$M$506,M423,$D$7:$D$506,D423)&lt;&gt;2),"Check transfer pair",IF(AND(E423="Expense",K423=""),"Assign budget fund",IF(AND(E423="Expense",L423=""),"Add receipt / proof",""))))))))))</x:f>
      </x:c>
    </x:row>
    <x:row r="424" ht="24" customHeight="1">
      <x:c r="A424" s="10"/>
      <x:c r="B424" s="5"/>
      <x:c r="C424" s="10"/>
      <x:c r="D424" s="10"/>
      <x:c r="E424" s="10"/>
      <x:c r="F424" s="10"/>
      <x:c r="G424" s="10"/>
      <x:c r="H424" s="10"/>
      <x:c r="I424" s="11"/>
      <x:c r="J424" s="11"/>
      <x:c r="K424" s="10"/>
      <x:c r="L424" s="10"/>
      <x:c r="M424" s="10"/>
      <x:c r="N424" s="10"/>
      <x:c r="O424" s="1" t="str">
        <x:f>IF(COUNTA(A424:N424)=0,"",IF(OR(A424="",B424="",C424="",NOT(ISNUMBER(D424)),NOT(ISNUMBER(E424))),"Complete required fields",IF(COUNTIFS($A$7:$A$506,A424)&gt;1,"Duplicate ID",IF(COUNTIFS('Accounts'!$A$7:$A$26,C424,'Accounts'!$B$7:$B$26,D424)&lt;&gt;1,"Check account/currency",IF(OR(I424&lt;0,J424&lt;0,AND(I424&gt;0,J424&gt;0),AND(I424=0,J424=0)),"Check amounts",IF(OR(AND(E424="Income",J424&gt;0),AND(E424="Expense",I424&gt;0),AND(E424="Transfer in",J424&gt;0),AND(E424="Transfer out",I424&gt;0)),"Check type/direction",IF(AND(OR(E424="Transfer in",E424="Transfer out"),M424=""),"Add transfer pair ID",IF(AND(OR(E424="Transfer in",E424="Transfer out"),COUNTIFS($M$7:$M$506,M424,$D$7:$D$506,D424)&lt;&gt;2),"Check transfer pair",IF(AND(E424="Expense",K424=""),"Assign budget fund",IF(AND(E424="Expense",L424=""),"Add receipt / proof",""))))))))))</x:f>
      </x:c>
    </x:row>
    <x:row r="425" ht="24" customHeight="1">
      <x:c r="A425" s="10"/>
      <x:c r="B425" s="5"/>
      <x:c r="C425" s="10"/>
      <x:c r="D425" s="10"/>
      <x:c r="E425" s="10"/>
      <x:c r="F425" s="10"/>
      <x:c r="G425" s="10"/>
      <x:c r="H425" s="10"/>
      <x:c r="I425" s="11"/>
      <x:c r="J425" s="11"/>
      <x:c r="K425" s="10"/>
      <x:c r="L425" s="10"/>
      <x:c r="M425" s="10"/>
      <x:c r="N425" s="10"/>
      <x:c r="O425" s="1" t="str">
        <x:f>IF(COUNTA(A425:N425)=0,"",IF(OR(A425="",B425="",C425="",NOT(ISNUMBER(D425)),NOT(ISNUMBER(E425))),"Complete required fields",IF(COUNTIFS($A$7:$A$506,A425)&gt;1,"Duplicate ID",IF(COUNTIFS('Accounts'!$A$7:$A$26,C425,'Accounts'!$B$7:$B$26,D425)&lt;&gt;1,"Check account/currency",IF(OR(I425&lt;0,J425&lt;0,AND(I425&gt;0,J425&gt;0),AND(I425=0,J425=0)),"Check amounts",IF(OR(AND(E425="Income",J425&gt;0),AND(E425="Expense",I425&gt;0),AND(E425="Transfer in",J425&gt;0),AND(E425="Transfer out",I425&gt;0)),"Check type/direction",IF(AND(OR(E425="Transfer in",E425="Transfer out"),M425=""),"Add transfer pair ID",IF(AND(OR(E425="Transfer in",E425="Transfer out"),COUNTIFS($M$7:$M$506,M425,$D$7:$D$506,D425)&lt;&gt;2),"Check transfer pair",IF(AND(E425="Expense",K425=""),"Assign budget fund",IF(AND(E425="Expense",L425=""),"Add receipt / proof",""))))))))))</x:f>
      </x:c>
    </x:row>
    <x:row r="426" ht="24" customHeight="1">
      <x:c r="A426" s="10"/>
      <x:c r="B426" s="5"/>
      <x:c r="C426" s="10"/>
      <x:c r="D426" s="10"/>
      <x:c r="E426" s="10"/>
      <x:c r="F426" s="10"/>
      <x:c r="G426" s="10"/>
      <x:c r="H426" s="10"/>
      <x:c r="I426" s="11"/>
      <x:c r="J426" s="11"/>
      <x:c r="K426" s="10"/>
      <x:c r="L426" s="10"/>
      <x:c r="M426" s="10"/>
      <x:c r="N426" s="10"/>
      <x:c r="O426" s="1" t="str">
        <x:f>IF(COUNTA(A426:N426)=0,"",IF(OR(A426="",B426="",C426="",NOT(ISNUMBER(D426)),NOT(ISNUMBER(E426))),"Complete required fields",IF(COUNTIFS($A$7:$A$506,A426)&gt;1,"Duplicate ID",IF(COUNTIFS('Accounts'!$A$7:$A$26,C426,'Accounts'!$B$7:$B$26,D426)&lt;&gt;1,"Check account/currency",IF(OR(I426&lt;0,J426&lt;0,AND(I426&gt;0,J426&gt;0),AND(I426=0,J426=0)),"Check amounts",IF(OR(AND(E426="Income",J426&gt;0),AND(E426="Expense",I426&gt;0),AND(E426="Transfer in",J426&gt;0),AND(E426="Transfer out",I426&gt;0)),"Check type/direction",IF(AND(OR(E426="Transfer in",E426="Transfer out"),M426=""),"Add transfer pair ID",IF(AND(OR(E426="Transfer in",E426="Transfer out"),COUNTIFS($M$7:$M$506,M426,$D$7:$D$506,D426)&lt;&gt;2),"Check transfer pair",IF(AND(E426="Expense",K426=""),"Assign budget fund",IF(AND(E426="Expense",L426=""),"Add receipt / proof",""))))))))))</x:f>
      </x:c>
    </x:row>
    <x:row r="427" ht="24" customHeight="1">
      <x:c r="A427" s="10"/>
      <x:c r="B427" s="5"/>
      <x:c r="C427" s="10"/>
      <x:c r="D427" s="10"/>
      <x:c r="E427" s="10"/>
      <x:c r="F427" s="10"/>
      <x:c r="G427" s="10"/>
      <x:c r="H427" s="10"/>
      <x:c r="I427" s="11"/>
      <x:c r="J427" s="11"/>
      <x:c r="K427" s="10"/>
      <x:c r="L427" s="10"/>
      <x:c r="M427" s="10"/>
      <x:c r="N427" s="10"/>
      <x:c r="O427" s="1" t="str">
        <x:f>IF(COUNTA(A427:N427)=0,"",IF(OR(A427="",B427="",C427="",NOT(ISNUMBER(D427)),NOT(ISNUMBER(E427))),"Complete required fields",IF(COUNTIFS($A$7:$A$506,A427)&gt;1,"Duplicate ID",IF(COUNTIFS('Accounts'!$A$7:$A$26,C427,'Accounts'!$B$7:$B$26,D427)&lt;&gt;1,"Check account/currency",IF(OR(I427&lt;0,J427&lt;0,AND(I427&gt;0,J427&gt;0),AND(I427=0,J427=0)),"Check amounts",IF(OR(AND(E427="Income",J427&gt;0),AND(E427="Expense",I427&gt;0),AND(E427="Transfer in",J427&gt;0),AND(E427="Transfer out",I427&gt;0)),"Check type/direction",IF(AND(OR(E427="Transfer in",E427="Transfer out"),M427=""),"Add transfer pair ID",IF(AND(OR(E427="Transfer in",E427="Transfer out"),COUNTIFS($M$7:$M$506,M427,$D$7:$D$506,D427)&lt;&gt;2),"Check transfer pair",IF(AND(E427="Expense",K427=""),"Assign budget fund",IF(AND(E427="Expense",L427=""),"Add receipt / proof",""))))))))))</x:f>
      </x:c>
    </x:row>
    <x:row r="428" ht="24" customHeight="1">
      <x:c r="A428" s="10"/>
      <x:c r="B428" s="5"/>
      <x:c r="C428" s="10"/>
      <x:c r="D428" s="10"/>
      <x:c r="E428" s="10"/>
      <x:c r="F428" s="10"/>
      <x:c r="G428" s="10"/>
      <x:c r="H428" s="10"/>
      <x:c r="I428" s="11"/>
      <x:c r="J428" s="11"/>
      <x:c r="K428" s="10"/>
      <x:c r="L428" s="10"/>
      <x:c r="M428" s="10"/>
      <x:c r="N428" s="10"/>
      <x:c r="O428" s="1" t="str">
        <x:f>IF(COUNTA(A428:N428)=0,"",IF(OR(A428="",B428="",C428="",NOT(ISNUMBER(D428)),NOT(ISNUMBER(E428))),"Complete required fields",IF(COUNTIFS($A$7:$A$506,A428)&gt;1,"Duplicate ID",IF(COUNTIFS('Accounts'!$A$7:$A$26,C428,'Accounts'!$B$7:$B$26,D428)&lt;&gt;1,"Check account/currency",IF(OR(I428&lt;0,J428&lt;0,AND(I428&gt;0,J428&gt;0),AND(I428=0,J428=0)),"Check amounts",IF(OR(AND(E428="Income",J428&gt;0),AND(E428="Expense",I428&gt;0),AND(E428="Transfer in",J428&gt;0),AND(E428="Transfer out",I428&gt;0)),"Check type/direction",IF(AND(OR(E428="Transfer in",E428="Transfer out"),M428=""),"Add transfer pair ID",IF(AND(OR(E428="Transfer in",E428="Transfer out"),COUNTIFS($M$7:$M$506,M428,$D$7:$D$506,D428)&lt;&gt;2),"Check transfer pair",IF(AND(E428="Expense",K428=""),"Assign budget fund",IF(AND(E428="Expense",L428=""),"Add receipt / proof",""))))))))))</x:f>
      </x:c>
    </x:row>
    <x:row r="429" ht="24" customHeight="1">
      <x:c r="A429" s="10"/>
      <x:c r="B429" s="5"/>
      <x:c r="C429" s="10"/>
      <x:c r="D429" s="10"/>
      <x:c r="E429" s="10"/>
      <x:c r="F429" s="10"/>
      <x:c r="G429" s="10"/>
      <x:c r="H429" s="10"/>
      <x:c r="I429" s="11"/>
      <x:c r="J429" s="11"/>
      <x:c r="K429" s="10"/>
      <x:c r="L429" s="10"/>
      <x:c r="M429" s="10"/>
      <x:c r="N429" s="10"/>
      <x:c r="O429" s="1" t="str">
        <x:f>IF(COUNTA(A429:N429)=0,"",IF(OR(A429="",B429="",C429="",NOT(ISNUMBER(D429)),NOT(ISNUMBER(E429))),"Complete required fields",IF(COUNTIFS($A$7:$A$506,A429)&gt;1,"Duplicate ID",IF(COUNTIFS('Accounts'!$A$7:$A$26,C429,'Accounts'!$B$7:$B$26,D429)&lt;&gt;1,"Check account/currency",IF(OR(I429&lt;0,J429&lt;0,AND(I429&gt;0,J429&gt;0),AND(I429=0,J429=0)),"Check amounts",IF(OR(AND(E429="Income",J429&gt;0),AND(E429="Expense",I429&gt;0),AND(E429="Transfer in",J429&gt;0),AND(E429="Transfer out",I429&gt;0)),"Check type/direction",IF(AND(OR(E429="Transfer in",E429="Transfer out"),M429=""),"Add transfer pair ID",IF(AND(OR(E429="Transfer in",E429="Transfer out"),COUNTIFS($M$7:$M$506,M429,$D$7:$D$506,D429)&lt;&gt;2),"Check transfer pair",IF(AND(E429="Expense",K429=""),"Assign budget fund",IF(AND(E429="Expense",L429=""),"Add receipt / proof",""))))))))))</x:f>
      </x:c>
    </x:row>
    <x:row r="430" ht="24" customHeight="1">
      <x:c r="A430" s="10"/>
      <x:c r="B430" s="5"/>
      <x:c r="C430" s="10"/>
      <x:c r="D430" s="10"/>
      <x:c r="E430" s="10"/>
      <x:c r="F430" s="10"/>
      <x:c r="G430" s="10"/>
      <x:c r="H430" s="10"/>
      <x:c r="I430" s="11"/>
      <x:c r="J430" s="11"/>
      <x:c r="K430" s="10"/>
      <x:c r="L430" s="10"/>
      <x:c r="M430" s="10"/>
      <x:c r="N430" s="10"/>
      <x:c r="O430" s="1" t="str">
        <x:f>IF(COUNTA(A430:N430)=0,"",IF(OR(A430="",B430="",C430="",NOT(ISNUMBER(D430)),NOT(ISNUMBER(E430))),"Complete required fields",IF(COUNTIFS($A$7:$A$506,A430)&gt;1,"Duplicate ID",IF(COUNTIFS('Accounts'!$A$7:$A$26,C430,'Accounts'!$B$7:$B$26,D430)&lt;&gt;1,"Check account/currency",IF(OR(I430&lt;0,J430&lt;0,AND(I430&gt;0,J430&gt;0),AND(I430=0,J430=0)),"Check amounts",IF(OR(AND(E430="Income",J430&gt;0),AND(E430="Expense",I430&gt;0),AND(E430="Transfer in",J430&gt;0),AND(E430="Transfer out",I430&gt;0)),"Check type/direction",IF(AND(OR(E430="Transfer in",E430="Transfer out"),M430=""),"Add transfer pair ID",IF(AND(OR(E430="Transfer in",E430="Transfer out"),COUNTIFS($M$7:$M$506,M430,$D$7:$D$506,D430)&lt;&gt;2),"Check transfer pair",IF(AND(E430="Expense",K430=""),"Assign budget fund",IF(AND(E430="Expense",L430=""),"Add receipt / proof",""))))))))))</x:f>
      </x:c>
    </x:row>
    <x:row r="431" ht="24" customHeight="1">
      <x:c r="A431" s="10"/>
      <x:c r="B431" s="5"/>
      <x:c r="C431" s="10"/>
      <x:c r="D431" s="10"/>
      <x:c r="E431" s="10"/>
      <x:c r="F431" s="10"/>
      <x:c r="G431" s="10"/>
      <x:c r="H431" s="10"/>
      <x:c r="I431" s="11"/>
      <x:c r="J431" s="11"/>
      <x:c r="K431" s="10"/>
      <x:c r="L431" s="10"/>
      <x:c r="M431" s="10"/>
      <x:c r="N431" s="10"/>
      <x:c r="O431" s="1" t="str">
        <x:f>IF(COUNTA(A431:N431)=0,"",IF(OR(A431="",B431="",C431="",NOT(ISNUMBER(D431)),NOT(ISNUMBER(E431))),"Complete required fields",IF(COUNTIFS($A$7:$A$506,A431)&gt;1,"Duplicate ID",IF(COUNTIFS('Accounts'!$A$7:$A$26,C431,'Accounts'!$B$7:$B$26,D431)&lt;&gt;1,"Check account/currency",IF(OR(I431&lt;0,J431&lt;0,AND(I431&gt;0,J431&gt;0),AND(I431=0,J431=0)),"Check amounts",IF(OR(AND(E431="Income",J431&gt;0),AND(E431="Expense",I431&gt;0),AND(E431="Transfer in",J431&gt;0),AND(E431="Transfer out",I431&gt;0)),"Check type/direction",IF(AND(OR(E431="Transfer in",E431="Transfer out"),M431=""),"Add transfer pair ID",IF(AND(OR(E431="Transfer in",E431="Transfer out"),COUNTIFS($M$7:$M$506,M431,$D$7:$D$506,D431)&lt;&gt;2),"Check transfer pair",IF(AND(E431="Expense",K431=""),"Assign budget fund",IF(AND(E431="Expense",L431=""),"Add receipt / proof",""))))))))))</x:f>
      </x:c>
    </x:row>
    <x:row r="432" ht="24" customHeight="1">
      <x:c r="A432" s="10"/>
      <x:c r="B432" s="5"/>
      <x:c r="C432" s="10"/>
      <x:c r="D432" s="10"/>
      <x:c r="E432" s="10"/>
      <x:c r="F432" s="10"/>
      <x:c r="G432" s="10"/>
      <x:c r="H432" s="10"/>
      <x:c r="I432" s="11"/>
      <x:c r="J432" s="11"/>
      <x:c r="K432" s="10"/>
      <x:c r="L432" s="10"/>
      <x:c r="M432" s="10"/>
      <x:c r="N432" s="10"/>
      <x:c r="O432" s="1" t="str">
        <x:f>IF(COUNTA(A432:N432)=0,"",IF(OR(A432="",B432="",C432="",NOT(ISNUMBER(D432)),NOT(ISNUMBER(E432))),"Complete required fields",IF(COUNTIFS($A$7:$A$506,A432)&gt;1,"Duplicate ID",IF(COUNTIFS('Accounts'!$A$7:$A$26,C432,'Accounts'!$B$7:$B$26,D432)&lt;&gt;1,"Check account/currency",IF(OR(I432&lt;0,J432&lt;0,AND(I432&gt;0,J432&gt;0),AND(I432=0,J432=0)),"Check amounts",IF(OR(AND(E432="Income",J432&gt;0),AND(E432="Expense",I432&gt;0),AND(E432="Transfer in",J432&gt;0),AND(E432="Transfer out",I432&gt;0)),"Check type/direction",IF(AND(OR(E432="Transfer in",E432="Transfer out"),M432=""),"Add transfer pair ID",IF(AND(OR(E432="Transfer in",E432="Transfer out"),COUNTIFS($M$7:$M$506,M432,$D$7:$D$506,D432)&lt;&gt;2),"Check transfer pair",IF(AND(E432="Expense",K432=""),"Assign budget fund",IF(AND(E432="Expense",L432=""),"Add receipt / proof",""))))))))))</x:f>
      </x:c>
    </x:row>
    <x:row r="433" ht="24" customHeight="1">
      <x:c r="A433" s="10"/>
      <x:c r="B433" s="5"/>
      <x:c r="C433" s="10"/>
      <x:c r="D433" s="10"/>
      <x:c r="E433" s="10"/>
      <x:c r="F433" s="10"/>
      <x:c r="G433" s="10"/>
      <x:c r="H433" s="10"/>
      <x:c r="I433" s="11"/>
      <x:c r="J433" s="11"/>
      <x:c r="K433" s="10"/>
      <x:c r="L433" s="10"/>
      <x:c r="M433" s="10"/>
      <x:c r="N433" s="10"/>
      <x:c r="O433" s="1" t="str">
        <x:f>IF(COUNTA(A433:N433)=0,"",IF(OR(A433="",B433="",C433="",NOT(ISNUMBER(D433)),NOT(ISNUMBER(E433))),"Complete required fields",IF(COUNTIFS($A$7:$A$506,A433)&gt;1,"Duplicate ID",IF(COUNTIFS('Accounts'!$A$7:$A$26,C433,'Accounts'!$B$7:$B$26,D433)&lt;&gt;1,"Check account/currency",IF(OR(I433&lt;0,J433&lt;0,AND(I433&gt;0,J433&gt;0),AND(I433=0,J433=0)),"Check amounts",IF(OR(AND(E433="Income",J433&gt;0),AND(E433="Expense",I433&gt;0),AND(E433="Transfer in",J433&gt;0),AND(E433="Transfer out",I433&gt;0)),"Check type/direction",IF(AND(OR(E433="Transfer in",E433="Transfer out"),M433=""),"Add transfer pair ID",IF(AND(OR(E433="Transfer in",E433="Transfer out"),COUNTIFS($M$7:$M$506,M433,$D$7:$D$506,D433)&lt;&gt;2),"Check transfer pair",IF(AND(E433="Expense",K433=""),"Assign budget fund",IF(AND(E433="Expense",L433=""),"Add receipt / proof",""))))))))))</x:f>
      </x:c>
    </x:row>
    <x:row r="434" ht="24" customHeight="1">
      <x:c r="A434" s="10"/>
      <x:c r="B434" s="5"/>
      <x:c r="C434" s="10"/>
      <x:c r="D434" s="10"/>
      <x:c r="E434" s="10"/>
      <x:c r="F434" s="10"/>
      <x:c r="G434" s="10"/>
      <x:c r="H434" s="10"/>
      <x:c r="I434" s="11"/>
      <x:c r="J434" s="11"/>
      <x:c r="K434" s="10"/>
      <x:c r="L434" s="10"/>
      <x:c r="M434" s="10"/>
      <x:c r="N434" s="10"/>
      <x:c r="O434" s="1" t="str">
        <x:f>IF(COUNTA(A434:N434)=0,"",IF(OR(A434="",B434="",C434="",NOT(ISNUMBER(D434)),NOT(ISNUMBER(E434))),"Complete required fields",IF(COUNTIFS($A$7:$A$506,A434)&gt;1,"Duplicate ID",IF(COUNTIFS('Accounts'!$A$7:$A$26,C434,'Accounts'!$B$7:$B$26,D434)&lt;&gt;1,"Check account/currency",IF(OR(I434&lt;0,J434&lt;0,AND(I434&gt;0,J434&gt;0),AND(I434=0,J434=0)),"Check amounts",IF(OR(AND(E434="Income",J434&gt;0),AND(E434="Expense",I434&gt;0),AND(E434="Transfer in",J434&gt;0),AND(E434="Transfer out",I434&gt;0)),"Check type/direction",IF(AND(OR(E434="Transfer in",E434="Transfer out"),M434=""),"Add transfer pair ID",IF(AND(OR(E434="Transfer in",E434="Transfer out"),COUNTIFS($M$7:$M$506,M434,$D$7:$D$506,D434)&lt;&gt;2),"Check transfer pair",IF(AND(E434="Expense",K434=""),"Assign budget fund",IF(AND(E434="Expense",L434=""),"Add receipt / proof",""))))))))))</x:f>
      </x:c>
    </x:row>
    <x:row r="435" ht="24" customHeight="1">
      <x:c r="A435" s="10"/>
      <x:c r="B435" s="5"/>
      <x:c r="C435" s="10"/>
      <x:c r="D435" s="10"/>
      <x:c r="E435" s="10"/>
      <x:c r="F435" s="10"/>
      <x:c r="G435" s="10"/>
      <x:c r="H435" s="10"/>
      <x:c r="I435" s="11"/>
      <x:c r="J435" s="11"/>
      <x:c r="K435" s="10"/>
      <x:c r="L435" s="10"/>
      <x:c r="M435" s="10"/>
      <x:c r="N435" s="10"/>
      <x:c r="O435" s="1" t="str">
        <x:f>IF(COUNTA(A435:N435)=0,"",IF(OR(A435="",B435="",C435="",NOT(ISNUMBER(D435)),NOT(ISNUMBER(E435))),"Complete required fields",IF(COUNTIFS($A$7:$A$506,A435)&gt;1,"Duplicate ID",IF(COUNTIFS('Accounts'!$A$7:$A$26,C435,'Accounts'!$B$7:$B$26,D435)&lt;&gt;1,"Check account/currency",IF(OR(I435&lt;0,J435&lt;0,AND(I435&gt;0,J435&gt;0),AND(I435=0,J435=0)),"Check amounts",IF(OR(AND(E435="Income",J435&gt;0),AND(E435="Expense",I435&gt;0),AND(E435="Transfer in",J435&gt;0),AND(E435="Transfer out",I435&gt;0)),"Check type/direction",IF(AND(OR(E435="Transfer in",E435="Transfer out"),M435=""),"Add transfer pair ID",IF(AND(OR(E435="Transfer in",E435="Transfer out"),COUNTIFS($M$7:$M$506,M435,$D$7:$D$506,D435)&lt;&gt;2),"Check transfer pair",IF(AND(E435="Expense",K435=""),"Assign budget fund",IF(AND(E435="Expense",L435=""),"Add receipt / proof",""))))))))))</x:f>
      </x:c>
    </x:row>
    <x:row r="436" ht="24" customHeight="1">
      <x:c r="A436" s="10"/>
      <x:c r="B436" s="5"/>
      <x:c r="C436" s="10"/>
      <x:c r="D436" s="10"/>
      <x:c r="E436" s="10"/>
      <x:c r="F436" s="10"/>
      <x:c r="G436" s="10"/>
      <x:c r="H436" s="10"/>
      <x:c r="I436" s="11"/>
      <x:c r="J436" s="11"/>
      <x:c r="K436" s="10"/>
      <x:c r="L436" s="10"/>
      <x:c r="M436" s="10"/>
      <x:c r="N436" s="10"/>
      <x:c r="O436" s="1" t="str">
        <x:f>IF(COUNTA(A436:N436)=0,"",IF(OR(A436="",B436="",C436="",NOT(ISNUMBER(D436)),NOT(ISNUMBER(E436))),"Complete required fields",IF(COUNTIFS($A$7:$A$506,A436)&gt;1,"Duplicate ID",IF(COUNTIFS('Accounts'!$A$7:$A$26,C436,'Accounts'!$B$7:$B$26,D436)&lt;&gt;1,"Check account/currency",IF(OR(I436&lt;0,J436&lt;0,AND(I436&gt;0,J436&gt;0),AND(I436=0,J436=0)),"Check amounts",IF(OR(AND(E436="Income",J436&gt;0),AND(E436="Expense",I436&gt;0),AND(E436="Transfer in",J436&gt;0),AND(E436="Transfer out",I436&gt;0)),"Check type/direction",IF(AND(OR(E436="Transfer in",E436="Transfer out"),M436=""),"Add transfer pair ID",IF(AND(OR(E436="Transfer in",E436="Transfer out"),COUNTIFS($M$7:$M$506,M436,$D$7:$D$506,D436)&lt;&gt;2),"Check transfer pair",IF(AND(E436="Expense",K436=""),"Assign budget fund",IF(AND(E436="Expense",L436=""),"Add receipt / proof",""))))))))))</x:f>
      </x:c>
    </x:row>
    <x:row r="437" ht="24" customHeight="1">
      <x:c r="A437" s="10"/>
      <x:c r="B437" s="5"/>
      <x:c r="C437" s="10"/>
      <x:c r="D437" s="10"/>
      <x:c r="E437" s="10"/>
      <x:c r="F437" s="10"/>
      <x:c r="G437" s="10"/>
      <x:c r="H437" s="10"/>
      <x:c r="I437" s="11"/>
      <x:c r="J437" s="11"/>
      <x:c r="K437" s="10"/>
      <x:c r="L437" s="10"/>
      <x:c r="M437" s="10"/>
      <x:c r="N437" s="10"/>
      <x:c r="O437" s="1" t="str">
        <x:f>IF(COUNTA(A437:N437)=0,"",IF(OR(A437="",B437="",C437="",NOT(ISNUMBER(D437)),NOT(ISNUMBER(E437))),"Complete required fields",IF(COUNTIFS($A$7:$A$506,A437)&gt;1,"Duplicate ID",IF(COUNTIFS('Accounts'!$A$7:$A$26,C437,'Accounts'!$B$7:$B$26,D437)&lt;&gt;1,"Check account/currency",IF(OR(I437&lt;0,J437&lt;0,AND(I437&gt;0,J437&gt;0),AND(I437=0,J437=0)),"Check amounts",IF(OR(AND(E437="Income",J437&gt;0),AND(E437="Expense",I437&gt;0),AND(E437="Transfer in",J437&gt;0),AND(E437="Transfer out",I437&gt;0)),"Check type/direction",IF(AND(OR(E437="Transfer in",E437="Transfer out"),M437=""),"Add transfer pair ID",IF(AND(OR(E437="Transfer in",E437="Transfer out"),COUNTIFS($M$7:$M$506,M437,$D$7:$D$506,D437)&lt;&gt;2),"Check transfer pair",IF(AND(E437="Expense",K437=""),"Assign budget fund",IF(AND(E437="Expense",L437=""),"Add receipt / proof",""))))))))))</x:f>
      </x:c>
    </x:row>
    <x:row r="438" ht="24" customHeight="1">
      <x:c r="A438" s="10"/>
      <x:c r="B438" s="5"/>
      <x:c r="C438" s="10"/>
      <x:c r="D438" s="10"/>
      <x:c r="E438" s="10"/>
      <x:c r="F438" s="10"/>
      <x:c r="G438" s="10"/>
      <x:c r="H438" s="10"/>
      <x:c r="I438" s="11"/>
      <x:c r="J438" s="11"/>
      <x:c r="K438" s="10"/>
      <x:c r="L438" s="10"/>
      <x:c r="M438" s="10"/>
      <x:c r="N438" s="10"/>
      <x:c r="O438" s="1" t="str">
        <x:f>IF(COUNTA(A438:N438)=0,"",IF(OR(A438="",B438="",C438="",NOT(ISNUMBER(D438)),NOT(ISNUMBER(E438))),"Complete required fields",IF(COUNTIFS($A$7:$A$506,A438)&gt;1,"Duplicate ID",IF(COUNTIFS('Accounts'!$A$7:$A$26,C438,'Accounts'!$B$7:$B$26,D438)&lt;&gt;1,"Check account/currency",IF(OR(I438&lt;0,J438&lt;0,AND(I438&gt;0,J438&gt;0),AND(I438=0,J438=0)),"Check amounts",IF(OR(AND(E438="Income",J438&gt;0),AND(E438="Expense",I438&gt;0),AND(E438="Transfer in",J438&gt;0),AND(E438="Transfer out",I438&gt;0)),"Check type/direction",IF(AND(OR(E438="Transfer in",E438="Transfer out"),M438=""),"Add transfer pair ID",IF(AND(OR(E438="Transfer in",E438="Transfer out"),COUNTIFS($M$7:$M$506,M438,$D$7:$D$506,D438)&lt;&gt;2),"Check transfer pair",IF(AND(E438="Expense",K438=""),"Assign budget fund",IF(AND(E438="Expense",L438=""),"Add receipt / proof",""))))))))))</x:f>
      </x:c>
    </x:row>
    <x:row r="439" ht="24" customHeight="1">
      <x:c r="A439" s="10"/>
      <x:c r="B439" s="5"/>
      <x:c r="C439" s="10"/>
      <x:c r="D439" s="10"/>
      <x:c r="E439" s="10"/>
      <x:c r="F439" s="10"/>
      <x:c r="G439" s="10"/>
      <x:c r="H439" s="10"/>
      <x:c r="I439" s="11"/>
      <x:c r="J439" s="11"/>
      <x:c r="K439" s="10"/>
      <x:c r="L439" s="10"/>
      <x:c r="M439" s="10"/>
      <x:c r="N439" s="10"/>
      <x:c r="O439" s="1" t="str">
        <x:f>IF(COUNTA(A439:N439)=0,"",IF(OR(A439="",B439="",C439="",NOT(ISNUMBER(D439)),NOT(ISNUMBER(E439))),"Complete required fields",IF(COUNTIFS($A$7:$A$506,A439)&gt;1,"Duplicate ID",IF(COUNTIFS('Accounts'!$A$7:$A$26,C439,'Accounts'!$B$7:$B$26,D439)&lt;&gt;1,"Check account/currency",IF(OR(I439&lt;0,J439&lt;0,AND(I439&gt;0,J439&gt;0),AND(I439=0,J439=0)),"Check amounts",IF(OR(AND(E439="Income",J439&gt;0),AND(E439="Expense",I439&gt;0),AND(E439="Transfer in",J439&gt;0),AND(E439="Transfer out",I439&gt;0)),"Check type/direction",IF(AND(OR(E439="Transfer in",E439="Transfer out"),M439=""),"Add transfer pair ID",IF(AND(OR(E439="Transfer in",E439="Transfer out"),COUNTIFS($M$7:$M$506,M439,$D$7:$D$506,D439)&lt;&gt;2),"Check transfer pair",IF(AND(E439="Expense",K439=""),"Assign budget fund",IF(AND(E439="Expense",L439=""),"Add receipt / proof",""))))))))))</x:f>
      </x:c>
    </x:row>
    <x:row r="440" ht="24" customHeight="1">
      <x:c r="A440" s="10"/>
      <x:c r="B440" s="5"/>
      <x:c r="C440" s="10"/>
      <x:c r="D440" s="10"/>
      <x:c r="E440" s="10"/>
      <x:c r="F440" s="10"/>
      <x:c r="G440" s="10"/>
      <x:c r="H440" s="10"/>
      <x:c r="I440" s="11"/>
      <x:c r="J440" s="11"/>
      <x:c r="K440" s="10"/>
      <x:c r="L440" s="10"/>
      <x:c r="M440" s="10"/>
      <x:c r="N440" s="10"/>
      <x:c r="O440" s="1" t="str">
        <x:f>IF(COUNTA(A440:N440)=0,"",IF(OR(A440="",B440="",C440="",NOT(ISNUMBER(D440)),NOT(ISNUMBER(E440))),"Complete required fields",IF(COUNTIFS($A$7:$A$506,A440)&gt;1,"Duplicate ID",IF(COUNTIFS('Accounts'!$A$7:$A$26,C440,'Accounts'!$B$7:$B$26,D440)&lt;&gt;1,"Check account/currency",IF(OR(I440&lt;0,J440&lt;0,AND(I440&gt;0,J440&gt;0),AND(I440=0,J440=0)),"Check amounts",IF(OR(AND(E440="Income",J440&gt;0),AND(E440="Expense",I440&gt;0),AND(E440="Transfer in",J440&gt;0),AND(E440="Transfer out",I440&gt;0)),"Check type/direction",IF(AND(OR(E440="Transfer in",E440="Transfer out"),M440=""),"Add transfer pair ID",IF(AND(OR(E440="Transfer in",E440="Transfer out"),COUNTIFS($M$7:$M$506,M440,$D$7:$D$506,D440)&lt;&gt;2),"Check transfer pair",IF(AND(E440="Expense",K440=""),"Assign budget fund",IF(AND(E440="Expense",L440=""),"Add receipt / proof",""))))))))))</x:f>
      </x:c>
    </x:row>
    <x:row r="441" ht="24" customHeight="1">
      <x:c r="A441" s="10"/>
      <x:c r="B441" s="5"/>
      <x:c r="C441" s="10"/>
      <x:c r="D441" s="10"/>
      <x:c r="E441" s="10"/>
      <x:c r="F441" s="10"/>
      <x:c r="G441" s="10"/>
      <x:c r="H441" s="10"/>
      <x:c r="I441" s="11"/>
      <x:c r="J441" s="11"/>
      <x:c r="K441" s="10"/>
      <x:c r="L441" s="10"/>
      <x:c r="M441" s="10"/>
      <x:c r="N441" s="10"/>
      <x:c r="O441" s="1" t="str">
        <x:f>IF(COUNTA(A441:N441)=0,"",IF(OR(A441="",B441="",C441="",NOT(ISNUMBER(D441)),NOT(ISNUMBER(E441))),"Complete required fields",IF(COUNTIFS($A$7:$A$506,A441)&gt;1,"Duplicate ID",IF(COUNTIFS('Accounts'!$A$7:$A$26,C441,'Accounts'!$B$7:$B$26,D441)&lt;&gt;1,"Check account/currency",IF(OR(I441&lt;0,J441&lt;0,AND(I441&gt;0,J441&gt;0),AND(I441=0,J441=0)),"Check amounts",IF(OR(AND(E441="Income",J441&gt;0),AND(E441="Expense",I441&gt;0),AND(E441="Transfer in",J441&gt;0),AND(E441="Transfer out",I441&gt;0)),"Check type/direction",IF(AND(OR(E441="Transfer in",E441="Transfer out"),M441=""),"Add transfer pair ID",IF(AND(OR(E441="Transfer in",E441="Transfer out"),COUNTIFS($M$7:$M$506,M441,$D$7:$D$506,D441)&lt;&gt;2),"Check transfer pair",IF(AND(E441="Expense",K441=""),"Assign budget fund",IF(AND(E441="Expense",L441=""),"Add receipt / proof",""))))))))))</x:f>
      </x:c>
    </x:row>
    <x:row r="442" ht="24" customHeight="1">
      <x:c r="A442" s="10"/>
      <x:c r="B442" s="5"/>
      <x:c r="C442" s="10"/>
      <x:c r="D442" s="10"/>
      <x:c r="E442" s="10"/>
      <x:c r="F442" s="10"/>
      <x:c r="G442" s="10"/>
      <x:c r="H442" s="10"/>
      <x:c r="I442" s="11"/>
      <x:c r="J442" s="11"/>
      <x:c r="K442" s="10"/>
      <x:c r="L442" s="10"/>
      <x:c r="M442" s="10"/>
      <x:c r="N442" s="10"/>
      <x:c r="O442" s="1" t="str">
        <x:f>IF(COUNTA(A442:N442)=0,"",IF(OR(A442="",B442="",C442="",NOT(ISNUMBER(D442)),NOT(ISNUMBER(E442))),"Complete required fields",IF(COUNTIFS($A$7:$A$506,A442)&gt;1,"Duplicate ID",IF(COUNTIFS('Accounts'!$A$7:$A$26,C442,'Accounts'!$B$7:$B$26,D442)&lt;&gt;1,"Check account/currency",IF(OR(I442&lt;0,J442&lt;0,AND(I442&gt;0,J442&gt;0),AND(I442=0,J442=0)),"Check amounts",IF(OR(AND(E442="Income",J442&gt;0),AND(E442="Expense",I442&gt;0),AND(E442="Transfer in",J442&gt;0),AND(E442="Transfer out",I442&gt;0)),"Check type/direction",IF(AND(OR(E442="Transfer in",E442="Transfer out"),M442=""),"Add transfer pair ID",IF(AND(OR(E442="Transfer in",E442="Transfer out"),COUNTIFS($M$7:$M$506,M442,$D$7:$D$506,D442)&lt;&gt;2),"Check transfer pair",IF(AND(E442="Expense",K442=""),"Assign budget fund",IF(AND(E442="Expense",L442=""),"Add receipt / proof",""))))))))))</x:f>
      </x:c>
    </x:row>
    <x:row r="443" ht="24" customHeight="1">
      <x:c r="A443" s="10"/>
      <x:c r="B443" s="5"/>
      <x:c r="C443" s="10"/>
      <x:c r="D443" s="10"/>
      <x:c r="E443" s="10"/>
      <x:c r="F443" s="10"/>
      <x:c r="G443" s="10"/>
      <x:c r="H443" s="10"/>
      <x:c r="I443" s="11"/>
      <x:c r="J443" s="11"/>
      <x:c r="K443" s="10"/>
      <x:c r="L443" s="10"/>
      <x:c r="M443" s="10"/>
      <x:c r="N443" s="10"/>
      <x:c r="O443" s="1" t="str">
        <x:f>IF(COUNTA(A443:N443)=0,"",IF(OR(A443="",B443="",C443="",NOT(ISNUMBER(D443)),NOT(ISNUMBER(E443))),"Complete required fields",IF(COUNTIFS($A$7:$A$506,A443)&gt;1,"Duplicate ID",IF(COUNTIFS('Accounts'!$A$7:$A$26,C443,'Accounts'!$B$7:$B$26,D443)&lt;&gt;1,"Check account/currency",IF(OR(I443&lt;0,J443&lt;0,AND(I443&gt;0,J443&gt;0),AND(I443=0,J443=0)),"Check amounts",IF(OR(AND(E443="Income",J443&gt;0),AND(E443="Expense",I443&gt;0),AND(E443="Transfer in",J443&gt;0),AND(E443="Transfer out",I443&gt;0)),"Check type/direction",IF(AND(OR(E443="Transfer in",E443="Transfer out"),M443=""),"Add transfer pair ID",IF(AND(OR(E443="Transfer in",E443="Transfer out"),COUNTIFS($M$7:$M$506,M443,$D$7:$D$506,D443)&lt;&gt;2),"Check transfer pair",IF(AND(E443="Expense",K443=""),"Assign budget fund",IF(AND(E443="Expense",L443=""),"Add receipt / proof",""))))))))))</x:f>
      </x:c>
    </x:row>
    <x:row r="444" ht="24" customHeight="1">
      <x:c r="A444" s="10"/>
      <x:c r="B444" s="5"/>
      <x:c r="C444" s="10"/>
      <x:c r="D444" s="10"/>
      <x:c r="E444" s="10"/>
      <x:c r="F444" s="10"/>
      <x:c r="G444" s="10"/>
      <x:c r="H444" s="10"/>
      <x:c r="I444" s="11"/>
      <x:c r="J444" s="11"/>
      <x:c r="K444" s="10"/>
      <x:c r="L444" s="10"/>
      <x:c r="M444" s="10"/>
      <x:c r="N444" s="10"/>
      <x:c r="O444" s="1" t="str">
        <x:f>IF(COUNTA(A444:N444)=0,"",IF(OR(A444="",B444="",C444="",NOT(ISNUMBER(D444)),NOT(ISNUMBER(E444))),"Complete required fields",IF(COUNTIFS($A$7:$A$506,A444)&gt;1,"Duplicate ID",IF(COUNTIFS('Accounts'!$A$7:$A$26,C444,'Accounts'!$B$7:$B$26,D444)&lt;&gt;1,"Check account/currency",IF(OR(I444&lt;0,J444&lt;0,AND(I444&gt;0,J444&gt;0),AND(I444=0,J444=0)),"Check amounts",IF(OR(AND(E444="Income",J444&gt;0),AND(E444="Expense",I444&gt;0),AND(E444="Transfer in",J444&gt;0),AND(E444="Transfer out",I444&gt;0)),"Check type/direction",IF(AND(OR(E444="Transfer in",E444="Transfer out"),M444=""),"Add transfer pair ID",IF(AND(OR(E444="Transfer in",E444="Transfer out"),COUNTIFS($M$7:$M$506,M444,$D$7:$D$506,D444)&lt;&gt;2),"Check transfer pair",IF(AND(E444="Expense",K444=""),"Assign budget fund",IF(AND(E444="Expense",L444=""),"Add receipt / proof",""))))))))))</x:f>
      </x:c>
    </x:row>
    <x:row r="445" ht="24" customHeight="1">
      <x:c r="A445" s="10"/>
      <x:c r="B445" s="5"/>
      <x:c r="C445" s="10"/>
      <x:c r="D445" s="10"/>
      <x:c r="E445" s="10"/>
      <x:c r="F445" s="10"/>
      <x:c r="G445" s="10"/>
      <x:c r="H445" s="10"/>
      <x:c r="I445" s="11"/>
      <x:c r="J445" s="11"/>
      <x:c r="K445" s="10"/>
      <x:c r="L445" s="10"/>
      <x:c r="M445" s="10"/>
      <x:c r="N445" s="10"/>
      <x:c r="O445" s="1" t="str">
        <x:f>IF(COUNTA(A445:N445)=0,"",IF(OR(A445="",B445="",C445="",NOT(ISNUMBER(D445)),NOT(ISNUMBER(E445))),"Complete required fields",IF(COUNTIFS($A$7:$A$506,A445)&gt;1,"Duplicate ID",IF(COUNTIFS('Accounts'!$A$7:$A$26,C445,'Accounts'!$B$7:$B$26,D445)&lt;&gt;1,"Check account/currency",IF(OR(I445&lt;0,J445&lt;0,AND(I445&gt;0,J445&gt;0),AND(I445=0,J445=0)),"Check amounts",IF(OR(AND(E445="Income",J445&gt;0),AND(E445="Expense",I445&gt;0),AND(E445="Transfer in",J445&gt;0),AND(E445="Transfer out",I445&gt;0)),"Check type/direction",IF(AND(OR(E445="Transfer in",E445="Transfer out"),M445=""),"Add transfer pair ID",IF(AND(OR(E445="Transfer in",E445="Transfer out"),COUNTIFS($M$7:$M$506,M445,$D$7:$D$506,D445)&lt;&gt;2),"Check transfer pair",IF(AND(E445="Expense",K445=""),"Assign budget fund",IF(AND(E445="Expense",L445=""),"Add receipt / proof",""))))))))))</x:f>
      </x:c>
    </x:row>
    <x:row r="446" ht="24" customHeight="1">
      <x:c r="A446" s="10"/>
      <x:c r="B446" s="5"/>
      <x:c r="C446" s="10"/>
      <x:c r="D446" s="10"/>
      <x:c r="E446" s="10"/>
      <x:c r="F446" s="10"/>
      <x:c r="G446" s="10"/>
      <x:c r="H446" s="10"/>
      <x:c r="I446" s="11"/>
      <x:c r="J446" s="11"/>
      <x:c r="K446" s="10"/>
      <x:c r="L446" s="10"/>
      <x:c r="M446" s="10"/>
      <x:c r="N446" s="10"/>
      <x:c r="O446" s="1" t="str">
        <x:f>IF(COUNTA(A446:N446)=0,"",IF(OR(A446="",B446="",C446="",NOT(ISNUMBER(D446)),NOT(ISNUMBER(E446))),"Complete required fields",IF(COUNTIFS($A$7:$A$506,A446)&gt;1,"Duplicate ID",IF(COUNTIFS('Accounts'!$A$7:$A$26,C446,'Accounts'!$B$7:$B$26,D446)&lt;&gt;1,"Check account/currency",IF(OR(I446&lt;0,J446&lt;0,AND(I446&gt;0,J446&gt;0),AND(I446=0,J446=0)),"Check amounts",IF(OR(AND(E446="Income",J446&gt;0),AND(E446="Expense",I446&gt;0),AND(E446="Transfer in",J446&gt;0),AND(E446="Transfer out",I446&gt;0)),"Check type/direction",IF(AND(OR(E446="Transfer in",E446="Transfer out"),M446=""),"Add transfer pair ID",IF(AND(OR(E446="Transfer in",E446="Transfer out"),COUNTIFS($M$7:$M$506,M446,$D$7:$D$506,D446)&lt;&gt;2),"Check transfer pair",IF(AND(E446="Expense",K446=""),"Assign budget fund",IF(AND(E446="Expense",L446=""),"Add receipt / proof",""))))))))))</x:f>
      </x:c>
    </x:row>
    <x:row r="447" ht="24" customHeight="1">
      <x:c r="A447" s="10"/>
      <x:c r="B447" s="5"/>
      <x:c r="C447" s="10"/>
      <x:c r="D447" s="10"/>
      <x:c r="E447" s="10"/>
      <x:c r="F447" s="10"/>
      <x:c r="G447" s="10"/>
      <x:c r="H447" s="10"/>
      <x:c r="I447" s="11"/>
      <x:c r="J447" s="11"/>
      <x:c r="K447" s="10"/>
      <x:c r="L447" s="10"/>
      <x:c r="M447" s="10"/>
      <x:c r="N447" s="10"/>
      <x:c r="O447" s="1" t="str">
        <x:f>IF(COUNTA(A447:N447)=0,"",IF(OR(A447="",B447="",C447="",NOT(ISNUMBER(D447)),NOT(ISNUMBER(E447))),"Complete required fields",IF(COUNTIFS($A$7:$A$506,A447)&gt;1,"Duplicate ID",IF(COUNTIFS('Accounts'!$A$7:$A$26,C447,'Accounts'!$B$7:$B$26,D447)&lt;&gt;1,"Check account/currency",IF(OR(I447&lt;0,J447&lt;0,AND(I447&gt;0,J447&gt;0),AND(I447=0,J447=0)),"Check amounts",IF(OR(AND(E447="Income",J447&gt;0),AND(E447="Expense",I447&gt;0),AND(E447="Transfer in",J447&gt;0),AND(E447="Transfer out",I447&gt;0)),"Check type/direction",IF(AND(OR(E447="Transfer in",E447="Transfer out"),M447=""),"Add transfer pair ID",IF(AND(OR(E447="Transfer in",E447="Transfer out"),COUNTIFS($M$7:$M$506,M447,$D$7:$D$506,D447)&lt;&gt;2),"Check transfer pair",IF(AND(E447="Expense",K447=""),"Assign budget fund",IF(AND(E447="Expense",L447=""),"Add receipt / proof",""))))))))))</x:f>
      </x:c>
    </x:row>
    <x:row r="448" ht="24" customHeight="1">
      <x:c r="A448" s="10"/>
      <x:c r="B448" s="5"/>
      <x:c r="C448" s="10"/>
      <x:c r="D448" s="10"/>
      <x:c r="E448" s="10"/>
      <x:c r="F448" s="10"/>
      <x:c r="G448" s="10"/>
      <x:c r="H448" s="10"/>
      <x:c r="I448" s="11"/>
      <x:c r="J448" s="11"/>
      <x:c r="K448" s="10"/>
      <x:c r="L448" s="10"/>
      <x:c r="M448" s="10"/>
      <x:c r="N448" s="10"/>
      <x:c r="O448" s="1" t="str">
        <x:f>IF(COUNTA(A448:N448)=0,"",IF(OR(A448="",B448="",C448="",NOT(ISNUMBER(D448)),NOT(ISNUMBER(E448))),"Complete required fields",IF(COUNTIFS($A$7:$A$506,A448)&gt;1,"Duplicate ID",IF(COUNTIFS('Accounts'!$A$7:$A$26,C448,'Accounts'!$B$7:$B$26,D448)&lt;&gt;1,"Check account/currency",IF(OR(I448&lt;0,J448&lt;0,AND(I448&gt;0,J448&gt;0),AND(I448=0,J448=0)),"Check amounts",IF(OR(AND(E448="Income",J448&gt;0),AND(E448="Expense",I448&gt;0),AND(E448="Transfer in",J448&gt;0),AND(E448="Transfer out",I448&gt;0)),"Check type/direction",IF(AND(OR(E448="Transfer in",E448="Transfer out"),M448=""),"Add transfer pair ID",IF(AND(OR(E448="Transfer in",E448="Transfer out"),COUNTIFS($M$7:$M$506,M448,$D$7:$D$506,D448)&lt;&gt;2),"Check transfer pair",IF(AND(E448="Expense",K448=""),"Assign budget fund",IF(AND(E448="Expense",L448=""),"Add receipt / proof",""))))))))))</x:f>
      </x:c>
    </x:row>
    <x:row r="449" ht="24" customHeight="1">
      <x:c r="A449" s="10"/>
      <x:c r="B449" s="5"/>
      <x:c r="C449" s="10"/>
      <x:c r="D449" s="10"/>
      <x:c r="E449" s="10"/>
      <x:c r="F449" s="10"/>
      <x:c r="G449" s="10"/>
      <x:c r="H449" s="10"/>
      <x:c r="I449" s="11"/>
      <x:c r="J449" s="11"/>
      <x:c r="K449" s="10"/>
      <x:c r="L449" s="10"/>
      <x:c r="M449" s="10"/>
      <x:c r="N449" s="10"/>
      <x:c r="O449" s="1" t="str">
        <x:f>IF(COUNTA(A449:N449)=0,"",IF(OR(A449="",B449="",C449="",NOT(ISNUMBER(D449)),NOT(ISNUMBER(E449))),"Complete required fields",IF(COUNTIFS($A$7:$A$506,A449)&gt;1,"Duplicate ID",IF(COUNTIFS('Accounts'!$A$7:$A$26,C449,'Accounts'!$B$7:$B$26,D449)&lt;&gt;1,"Check account/currency",IF(OR(I449&lt;0,J449&lt;0,AND(I449&gt;0,J449&gt;0),AND(I449=0,J449=0)),"Check amounts",IF(OR(AND(E449="Income",J449&gt;0),AND(E449="Expense",I449&gt;0),AND(E449="Transfer in",J449&gt;0),AND(E449="Transfer out",I449&gt;0)),"Check type/direction",IF(AND(OR(E449="Transfer in",E449="Transfer out"),M449=""),"Add transfer pair ID",IF(AND(OR(E449="Transfer in",E449="Transfer out"),COUNTIFS($M$7:$M$506,M449,$D$7:$D$506,D449)&lt;&gt;2),"Check transfer pair",IF(AND(E449="Expense",K449=""),"Assign budget fund",IF(AND(E449="Expense",L449=""),"Add receipt / proof",""))))))))))</x:f>
      </x:c>
    </x:row>
    <x:row r="450" ht="24" customHeight="1">
      <x:c r="A450" s="10"/>
      <x:c r="B450" s="5"/>
      <x:c r="C450" s="10"/>
      <x:c r="D450" s="10"/>
      <x:c r="E450" s="10"/>
      <x:c r="F450" s="10"/>
      <x:c r="G450" s="10"/>
      <x:c r="H450" s="10"/>
      <x:c r="I450" s="11"/>
      <x:c r="J450" s="11"/>
      <x:c r="K450" s="10"/>
      <x:c r="L450" s="10"/>
      <x:c r="M450" s="10"/>
      <x:c r="N450" s="10"/>
      <x:c r="O450" s="1" t="str">
        <x:f>IF(COUNTA(A450:N450)=0,"",IF(OR(A450="",B450="",C450="",NOT(ISNUMBER(D450)),NOT(ISNUMBER(E450))),"Complete required fields",IF(COUNTIFS($A$7:$A$506,A450)&gt;1,"Duplicate ID",IF(COUNTIFS('Accounts'!$A$7:$A$26,C450,'Accounts'!$B$7:$B$26,D450)&lt;&gt;1,"Check account/currency",IF(OR(I450&lt;0,J450&lt;0,AND(I450&gt;0,J450&gt;0),AND(I450=0,J450=0)),"Check amounts",IF(OR(AND(E450="Income",J450&gt;0),AND(E450="Expense",I450&gt;0),AND(E450="Transfer in",J450&gt;0),AND(E450="Transfer out",I450&gt;0)),"Check type/direction",IF(AND(OR(E450="Transfer in",E450="Transfer out"),M450=""),"Add transfer pair ID",IF(AND(OR(E450="Transfer in",E450="Transfer out"),COUNTIFS($M$7:$M$506,M450,$D$7:$D$506,D450)&lt;&gt;2),"Check transfer pair",IF(AND(E450="Expense",K450=""),"Assign budget fund",IF(AND(E450="Expense",L450=""),"Add receipt / proof",""))))))))))</x:f>
      </x:c>
    </x:row>
    <x:row r="451" ht="24" customHeight="1">
      <x:c r="A451" s="10"/>
      <x:c r="B451" s="5"/>
      <x:c r="C451" s="10"/>
      <x:c r="D451" s="10"/>
      <x:c r="E451" s="10"/>
      <x:c r="F451" s="10"/>
      <x:c r="G451" s="10"/>
      <x:c r="H451" s="10"/>
      <x:c r="I451" s="11"/>
      <x:c r="J451" s="11"/>
      <x:c r="K451" s="10"/>
      <x:c r="L451" s="10"/>
      <x:c r="M451" s="10"/>
      <x:c r="N451" s="10"/>
      <x:c r="O451" s="1" t="str">
        <x:f>IF(COUNTA(A451:N451)=0,"",IF(OR(A451="",B451="",C451="",NOT(ISNUMBER(D451)),NOT(ISNUMBER(E451))),"Complete required fields",IF(COUNTIFS($A$7:$A$506,A451)&gt;1,"Duplicate ID",IF(COUNTIFS('Accounts'!$A$7:$A$26,C451,'Accounts'!$B$7:$B$26,D451)&lt;&gt;1,"Check account/currency",IF(OR(I451&lt;0,J451&lt;0,AND(I451&gt;0,J451&gt;0),AND(I451=0,J451=0)),"Check amounts",IF(OR(AND(E451="Income",J451&gt;0),AND(E451="Expense",I451&gt;0),AND(E451="Transfer in",J451&gt;0),AND(E451="Transfer out",I451&gt;0)),"Check type/direction",IF(AND(OR(E451="Transfer in",E451="Transfer out"),M451=""),"Add transfer pair ID",IF(AND(OR(E451="Transfer in",E451="Transfer out"),COUNTIFS($M$7:$M$506,M451,$D$7:$D$506,D451)&lt;&gt;2),"Check transfer pair",IF(AND(E451="Expense",K451=""),"Assign budget fund",IF(AND(E451="Expense",L451=""),"Add receipt / proof",""))))))))))</x:f>
      </x:c>
    </x:row>
    <x:row r="452" ht="24" customHeight="1">
      <x:c r="A452" s="10"/>
      <x:c r="B452" s="5"/>
      <x:c r="C452" s="10"/>
      <x:c r="D452" s="10"/>
      <x:c r="E452" s="10"/>
      <x:c r="F452" s="10"/>
      <x:c r="G452" s="10"/>
      <x:c r="H452" s="10"/>
      <x:c r="I452" s="11"/>
      <x:c r="J452" s="11"/>
      <x:c r="K452" s="10"/>
      <x:c r="L452" s="10"/>
      <x:c r="M452" s="10"/>
      <x:c r="N452" s="10"/>
      <x:c r="O452" s="1" t="str">
        <x:f>IF(COUNTA(A452:N452)=0,"",IF(OR(A452="",B452="",C452="",NOT(ISNUMBER(D452)),NOT(ISNUMBER(E452))),"Complete required fields",IF(COUNTIFS($A$7:$A$506,A452)&gt;1,"Duplicate ID",IF(COUNTIFS('Accounts'!$A$7:$A$26,C452,'Accounts'!$B$7:$B$26,D452)&lt;&gt;1,"Check account/currency",IF(OR(I452&lt;0,J452&lt;0,AND(I452&gt;0,J452&gt;0),AND(I452=0,J452=0)),"Check amounts",IF(OR(AND(E452="Income",J452&gt;0),AND(E452="Expense",I452&gt;0),AND(E452="Transfer in",J452&gt;0),AND(E452="Transfer out",I452&gt;0)),"Check type/direction",IF(AND(OR(E452="Transfer in",E452="Transfer out"),M452=""),"Add transfer pair ID",IF(AND(OR(E452="Transfer in",E452="Transfer out"),COUNTIFS($M$7:$M$506,M452,$D$7:$D$506,D452)&lt;&gt;2),"Check transfer pair",IF(AND(E452="Expense",K452=""),"Assign budget fund",IF(AND(E452="Expense",L452=""),"Add receipt / proof",""))))))))))</x:f>
      </x:c>
    </x:row>
    <x:row r="453" ht="24" customHeight="1">
      <x:c r="A453" s="10"/>
      <x:c r="B453" s="5"/>
      <x:c r="C453" s="10"/>
      <x:c r="D453" s="10"/>
      <x:c r="E453" s="10"/>
      <x:c r="F453" s="10"/>
      <x:c r="G453" s="10"/>
      <x:c r="H453" s="10"/>
      <x:c r="I453" s="11"/>
      <x:c r="J453" s="11"/>
      <x:c r="K453" s="10"/>
      <x:c r="L453" s="10"/>
      <x:c r="M453" s="10"/>
      <x:c r="N453" s="10"/>
      <x:c r="O453" s="1" t="str">
        <x:f>IF(COUNTA(A453:N453)=0,"",IF(OR(A453="",B453="",C453="",NOT(ISNUMBER(D453)),NOT(ISNUMBER(E453))),"Complete required fields",IF(COUNTIFS($A$7:$A$506,A453)&gt;1,"Duplicate ID",IF(COUNTIFS('Accounts'!$A$7:$A$26,C453,'Accounts'!$B$7:$B$26,D453)&lt;&gt;1,"Check account/currency",IF(OR(I453&lt;0,J453&lt;0,AND(I453&gt;0,J453&gt;0),AND(I453=0,J453=0)),"Check amounts",IF(OR(AND(E453="Income",J453&gt;0),AND(E453="Expense",I453&gt;0),AND(E453="Transfer in",J453&gt;0),AND(E453="Transfer out",I453&gt;0)),"Check type/direction",IF(AND(OR(E453="Transfer in",E453="Transfer out"),M453=""),"Add transfer pair ID",IF(AND(OR(E453="Transfer in",E453="Transfer out"),COUNTIFS($M$7:$M$506,M453,$D$7:$D$506,D453)&lt;&gt;2),"Check transfer pair",IF(AND(E453="Expense",K453=""),"Assign budget fund",IF(AND(E453="Expense",L453=""),"Add receipt / proof",""))))))))))</x:f>
      </x:c>
    </x:row>
    <x:row r="454" ht="24" customHeight="1">
      <x:c r="A454" s="10"/>
      <x:c r="B454" s="5"/>
      <x:c r="C454" s="10"/>
      <x:c r="D454" s="10"/>
      <x:c r="E454" s="10"/>
      <x:c r="F454" s="10"/>
      <x:c r="G454" s="10"/>
      <x:c r="H454" s="10"/>
      <x:c r="I454" s="11"/>
      <x:c r="J454" s="11"/>
      <x:c r="K454" s="10"/>
      <x:c r="L454" s="10"/>
      <x:c r="M454" s="10"/>
      <x:c r="N454" s="10"/>
      <x:c r="O454" s="1" t="str">
        <x:f>IF(COUNTA(A454:N454)=0,"",IF(OR(A454="",B454="",C454="",NOT(ISNUMBER(D454)),NOT(ISNUMBER(E454))),"Complete required fields",IF(COUNTIFS($A$7:$A$506,A454)&gt;1,"Duplicate ID",IF(COUNTIFS('Accounts'!$A$7:$A$26,C454,'Accounts'!$B$7:$B$26,D454)&lt;&gt;1,"Check account/currency",IF(OR(I454&lt;0,J454&lt;0,AND(I454&gt;0,J454&gt;0),AND(I454=0,J454=0)),"Check amounts",IF(OR(AND(E454="Income",J454&gt;0),AND(E454="Expense",I454&gt;0),AND(E454="Transfer in",J454&gt;0),AND(E454="Transfer out",I454&gt;0)),"Check type/direction",IF(AND(OR(E454="Transfer in",E454="Transfer out"),M454=""),"Add transfer pair ID",IF(AND(OR(E454="Transfer in",E454="Transfer out"),COUNTIFS($M$7:$M$506,M454,$D$7:$D$506,D454)&lt;&gt;2),"Check transfer pair",IF(AND(E454="Expense",K454=""),"Assign budget fund",IF(AND(E454="Expense",L454=""),"Add receipt / proof",""))))))))))</x:f>
      </x:c>
    </x:row>
    <x:row r="455" ht="24" customHeight="1">
      <x:c r="A455" s="10"/>
      <x:c r="B455" s="5"/>
      <x:c r="C455" s="10"/>
      <x:c r="D455" s="10"/>
      <x:c r="E455" s="10"/>
      <x:c r="F455" s="10"/>
      <x:c r="G455" s="10"/>
      <x:c r="H455" s="10"/>
      <x:c r="I455" s="11"/>
      <x:c r="J455" s="11"/>
      <x:c r="K455" s="10"/>
      <x:c r="L455" s="10"/>
      <x:c r="M455" s="10"/>
      <x:c r="N455" s="10"/>
      <x:c r="O455" s="1" t="str">
        <x:f>IF(COUNTA(A455:N455)=0,"",IF(OR(A455="",B455="",C455="",NOT(ISNUMBER(D455)),NOT(ISNUMBER(E455))),"Complete required fields",IF(COUNTIFS($A$7:$A$506,A455)&gt;1,"Duplicate ID",IF(COUNTIFS('Accounts'!$A$7:$A$26,C455,'Accounts'!$B$7:$B$26,D455)&lt;&gt;1,"Check account/currency",IF(OR(I455&lt;0,J455&lt;0,AND(I455&gt;0,J455&gt;0),AND(I455=0,J455=0)),"Check amounts",IF(OR(AND(E455="Income",J455&gt;0),AND(E455="Expense",I455&gt;0),AND(E455="Transfer in",J455&gt;0),AND(E455="Transfer out",I455&gt;0)),"Check type/direction",IF(AND(OR(E455="Transfer in",E455="Transfer out"),M455=""),"Add transfer pair ID",IF(AND(OR(E455="Transfer in",E455="Transfer out"),COUNTIFS($M$7:$M$506,M455,$D$7:$D$506,D455)&lt;&gt;2),"Check transfer pair",IF(AND(E455="Expense",K455=""),"Assign budget fund",IF(AND(E455="Expense",L455=""),"Add receipt / proof",""))))))))))</x:f>
      </x:c>
    </x:row>
    <x:row r="456" ht="24" customHeight="1">
      <x:c r="A456" s="10"/>
      <x:c r="B456" s="5"/>
      <x:c r="C456" s="10"/>
      <x:c r="D456" s="10"/>
      <x:c r="E456" s="10"/>
      <x:c r="F456" s="10"/>
      <x:c r="G456" s="10"/>
      <x:c r="H456" s="10"/>
      <x:c r="I456" s="11"/>
      <x:c r="J456" s="11"/>
      <x:c r="K456" s="10"/>
      <x:c r="L456" s="10"/>
      <x:c r="M456" s="10"/>
      <x:c r="N456" s="10"/>
      <x:c r="O456" s="1" t="str">
        <x:f>IF(COUNTA(A456:N456)=0,"",IF(OR(A456="",B456="",C456="",NOT(ISNUMBER(D456)),NOT(ISNUMBER(E456))),"Complete required fields",IF(COUNTIFS($A$7:$A$506,A456)&gt;1,"Duplicate ID",IF(COUNTIFS('Accounts'!$A$7:$A$26,C456,'Accounts'!$B$7:$B$26,D456)&lt;&gt;1,"Check account/currency",IF(OR(I456&lt;0,J456&lt;0,AND(I456&gt;0,J456&gt;0),AND(I456=0,J456=0)),"Check amounts",IF(OR(AND(E456="Income",J456&gt;0),AND(E456="Expense",I456&gt;0),AND(E456="Transfer in",J456&gt;0),AND(E456="Transfer out",I456&gt;0)),"Check type/direction",IF(AND(OR(E456="Transfer in",E456="Transfer out"),M456=""),"Add transfer pair ID",IF(AND(OR(E456="Transfer in",E456="Transfer out"),COUNTIFS($M$7:$M$506,M456,$D$7:$D$506,D456)&lt;&gt;2),"Check transfer pair",IF(AND(E456="Expense",K456=""),"Assign budget fund",IF(AND(E456="Expense",L456=""),"Add receipt / proof",""))))))))))</x:f>
      </x:c>
    </x:row>
    <x:row r="457" ht="24" customHeight="1">
      <x:c r="A457" s="10"/>
      <x:c r="B457" s="5"/>
      <x:c r="C457" s="10"/>
      <x:c r="D457" s="10"/>
      <x:c r="E457" s="10"/>
      <x:c r="F457" s="10"/>
      <x:c r="G457" s="10"/>
      <x:c r="H457" s="10"/>
      <x:c r="I457" s="11"/>
      <x:c r="J457" s="11"/>
      <x:c r="K457" s="10"/>
      <x:c r="L457" s="10"/>
      <x:c r="M457" s="10"/>
      <x:c r="N457" s="10"/>
      <x:c r="O457" s="1" t="str">
        <x:f>IF(COUNTA(A457:N457)=0,"",IF(OR(A457="",B457="",C457="",NOT(ISNUMBER(D457)),NOT(ISNUMBER(E457))),"Complete required fields",IF(COUNTIFS($A$7:$A$506,A457)&gt;1,"Duplicate ID",IF(COUNTIFS('Accounts'!$A$7:$A$26,C457,'Accounts'!$B$7:$B$26,D457)&lt;&gt;1,"Check account/currency",IF(OR(I457&lt;0,J457&lt;0,AND(I457&gt;0,J457&gt;0),AND(I457=0,J457=0)),"Check amounts",IF(OR(AND(E457="Income",J457&gt;0),AND(E457="Expense",I457&gt;0),AND(E457="Transfer in",J457&gt;0),AND(E457="Transfer out",I457&gt;0)),"Check type/direction",IF(AND(OR(E457="Transfer in",E457="Transfer out"),M457=""),"Add transfer pair ID",IF(AND(OR(E457="Transfer in",E457="Transfer out"),COUNTIFS($M$7:$M$506,M457,$D$7:$D$506,D457)&lt;&gt;2),"Check transfer pair",IF(AND(E457="Expense",K457=""),"Assign budget fund",IF(AND(E457="Expense",L457=""),"Add receipt / proof",""))))))))))</x:f>
      </x:c>
    </x:row>
    <x:row r="458" ht="24" customHeight="1">
      <x:c r="A458" s="10"/>
      <x:c r="B458" s="5"/>
      <x:c r="C458" s="10"/>
      <x:c r="D458" s="10"/>
      <x:c r="E458" s="10"/>
      <x:c r="F458" s="10"/>
      <x:c r="G458" s="10"/>
      <x:c r="H458" s="10"/>
      <x:c r="I458" s="11"/>
      <x:c r="J458" s="11"/>
      <x:c r="K458" s="10"/>
      <x:c r="L458" s="10"/>
      <x:c r="M458" s="10"/>
      <x:c r="N458" s="10"/>
      <x:c r="O458" s="1" t="str">
        <x:f>IF(COUNTA(A458:N458)=0,"",IF(OR(A458="",B458="",C458="",NOT(ISNUMBER(D458)),NOT(ISNUMBER(E458))),"Complete required fields",IF(COUNTIFS($A$7:$A$506,A458)&gt;1,"Duplicate ID",IF(COUNTIFS('Accounts'!$A$7:$A$26,C458,'Accounts'!$B$7:$B$26,D458)&lt;&gt;1,"Check account/currency",IF(OR(I458&lt;0,J458&lt;0,AND(I458&gt;0,J458&gt;0),AND(I458=0,J458=0)),"Check amounts",IF(OR(AND(E458="Income",J458&gt;0),AND(E458="Expense",I458&gt;0),AND(E458="Transfer in",J458&gt;0),AND(E458="Transfer out",I458&gt;0)),"Check type/direction",IF(AND(OR(E458="Transfer in",E458="Transfer out"),M458=""),"Add transfer pair ID",IF(AND(OR(E458="Transfer in",E458="Transfer out"),COUNTIFS($M$7:$M$506,M458,$D$7:$D$506,D458)&lt;&gt;2),"Check transfer pair",IF(AND(E458="Expense",K458=""),"Assign budget fund",IF(AND(E458="Expense",L458=""),"Add receipt / proof",""))))))))))</x:f>
      </x:c>
    </x:row>
    <x:row r="459" ht="24" customHeight="1">
      <x:c r="A459" s="10"/>
      <x:c r="B459" s="5"/>
      <x:c r="C459" s="10"/>
      <x:c r="D459" s="10"/>
      <x:c r="E459" s="10"/>
      <x:c r="F459" s="10"/>
      <x:c r="G459" s="10"/>
      <x:c r="H459" s="10"/>
      <x:c r="I459" s="11"/>
      <x:c r="J459" s="11"/>
      <x:c r="K459" s="10"/>
      <x:c r="L459" s="10"/>
      <x:c r="M459" s="10"/>
      <x:c r="N459" s="10"/>
      <x:c r="O459" s="1" t="str">
        <x:f>IF(COUNTA(A459:N459)=0,"",IF(OR(A459="",B459="",C459="",NOT(ISNUMBER(D459)),NOT(ISNUMBER(E459))),"Complete required fields",IF(COUNTIFS($A$7:$A$506,A459)&gt;1,"Duplicate ID",IF(COUNTIFS('Accounts'!$A$7:$A$26,C459,'Accounts'!$B$7:$B$26,D459)&lt;&gt;1,"Check account/currency",IF(OR(I459&lt;0,J459&lt;0,AND(I459&gt;0,J459&gt;0),AND(I459=0,J459=0)),"Check amounts",IF(OR(AND(E459="Income",J459&gt;0),AND(E459="Expense",I459&gt;0),AND(E459="Transfer in",J459&gt;0),AND(E459="Transfer out",I459&gt;0)),"Check type/direction",IF(AND(OR(E459="Transfer in",E459="Transfer out"),M459=""),"Add transfer pair ID",IF(AND(OR(E459="Transfer in",E459="Transfer out"),COUNTIFS($M$7:$M$506,M459,$D$7:$D$506,D459)&lt;&gt;2),"Check transfer pair",IF(AND(E459="Expense",K459=""),"Assign budget fund",IF(AND(E459="Expense",L459=""),"Add receipt / proof",""))))))))))</x:f>
      </x:c>
    </x:row>
    <x:row r="460" ht="24" customHeight="1">
      <x:c r="A460" s="10"/>
      <x:c r="B460" s="5"/>
      <x:c r="C460" s="10"/>
      <x:c r="D460" s="10"/>
      <x:c r="E460" s="10"/>
      <x:c r="F460" s="10"/>
      <x:c r="G460" s="10"/>
      <x:c r="H460" s="10"/>
      <x:c r="I460" s="11"/>
      <x:c r="J460" s="11"/>
      <x:c r="K460" s="10"/>
      <x:c r="L460" s="10"/>
      <x:c r="M460" s="10"/>
      <x:c r="N460" s="10"/>
      <x:c r="O460" s="1" t="str">
        <x:f>IF(COUNTA(A460:N460)=0,"",IF(OR(A460="",B460="",C460="",NOT(ISNUMBER(D460)),NOT(ISNUMBER(E460))),"Complete required fields",IF(COUNTIFS($A$7:$A$506,A460)&gt;1,"Duplicate ID",IF(COUNTIFS('Accounts'!$A$7:$A$26,C460,'Accounts'!$B$7:$B$26,D460)&lt;&gt;1,"Check account/currency",IF(OR(I460&lt;0,J460&lt;0,AND(I460&gt;0,J460&gt;0),AND(I460=0,J460=0)),"Check amounts",IF(OR(AND(E460="Income",J460&gt;0),AND(E460="Expense",I460&gt;0),AND(E460="Transfer in",J460&gt;0),AND(E460="Transfer out",I460&gt;0)),"Check type/direction",IF(AND(OR(E460="Transfer in",E460="Transfer out"),M460=""),"Add transfer pair ID",IF(AND(OR(E460="Transfer in",E460="Transfer out"),COUNTIFS($M$7:$M$506,M460,$D$7:$D$506,D460)&lt;&gt;2),"Check transfer pair",IF(AND(E460="Expense",K460=""),"Assign budget fund",IF(AND(E460="Expense",L460=""),"Add receipt / proof",""))))))))))</x:f>
      </x:c>
    </x:row>
    <x:row r="461" ht="24" customHeight="1">
      <x:c r="A461" s="10"/>
      <x:c r="B461" s="5"/>
      <x:c r="C461" s="10"/>
      <x:c r="D461" s="10"/>
      <x:c r="E461" s="10"/>
      <x:c r="F461" s="10"/>
      <x:c r="G461" s="10"/>
      <x:c r="H461" s="10"/>
      <x:c r="I461" s="11"/>
      <x:c r="J461" s="11"/>
      <x:c r="K461" s="10"/>
      <x:c r="L461" s="10"/>
      <x:c r="M461" s="10"/>
      <x:c r="N461" s="10"/>
      <x:c r="O461" s="1" t="str">
        <x:f>IF(COUNTA(A461:N461)=0,"",IF(OR(A461="",B461="",C461="",NOT(ISNUMBER(D461)),NOT(ISNUMBER(E461))),"Complete required fields",IF(COUNTIFS($A$7:$A$506,A461)&gt;1,"Duplicate ID",IF(COUNTIFS('Accounts'!$A$7:$A$26,C461,'Accounts'!$B$7:$B$26,D461)&lt;&gt;1,"Check account/currency",IF(OR(I461&lt;0,J461&lt;0,AND(I461&gt;0,J461&gt;0),AND(I461=0,J461=0)),"Check amounts",IF(OR(AND(E461="Income",J461&gt;0),AND(E461="Expense",I461&gt;0),AND(E461="Transfer in",J461&gt;0),AND(E461="Transfer out",I461&gt;0)),"Check type/direction",IF(AND(OR(E461="Transfer in",E461="Transfer out"),M461=""),"Add transfer pair ID",IF(AND(OR(E461="Transfer in",E461="Transfer out"),COUNTIFS($M$7:$M$506,M461,$D$7:$D$506,D461)&lt;&gt;2),"Check transfer pair",IF(AND(E461="Expense",K461=""),"Assign budget fund",IF(AND(E461="Expense",L461=""),"Add receipt / proof",""))))))))))</x:f>
      </x:c>
    </x:row>
    <x:row r="462" ht="24" customHeight="1">
      <x:c r="A462" s="10"/>
      <x:c r="B462" s="5"/>
      <x:c r="C462" s="10"/>
      <x:c r="D462" s="10"/>
      <x:c r="E462" s="10"/>
      <x:c r="F462" s="10"/>
      <x:c r="G462" s="10"/>
      <x:c r="H462" s="10"/>
      <x:c r="I462" s="11"/>
      <x:c r="J462" s="11"/>
      <x:c r="K462" s="10"/>
      <x:c r="L462" s="10"/>
      <x:c r="M462" s="10"/>
      <x:c r="N462" s="10"/>
      <x:c r="O462" s="1" t="str">
        <x:f>IF(COUNTA(A462:N462)=0,"",IF(OR(A462="",B462="",C462="",NOT(ISNUMBER(D462)),NOT(ISNUMBER(E462))),"Complete required fields",IF(COUNTIFS($A$7:$A$506,A462)&gt;1,"Duplicate ID",IF(COUNTIFS('Accounts'!$A$7:$A$26,C462,'Accounts'!$B$7:$B$26,D462)&lt;&gt;1,"Check account/currency",IF(OR(I462&lt;0,J462&lt;0,AND(I462&gt;0,J462&gt;0),AND(I462=0,J462=0)),"Check amounts",IF(OR(AND(E462="Income",J462&gt;0),AND(E462="Expense",I462&gt;0),AND(E462="Transfer in",J462&gt;0),AND(E462="Transfer out",I462&gt;0)),"Check type/direction",IF(AND(OR(E462="Transfer in",E462="Transfer out"),M462=""),"Add transfer pair ID",IF(AND(OR(E462="Transfer in",E462="Transfer out"),COUNTIFS($M$7:$M$506,M462,$D$7:$D$506,D462)&lt;&gt;2),"Check transfer pair",IF(AND(E462="Expense",K462=""),"Assign budget fund",IF(AND(E462="Expense",L462=""),"Add receipt / proof",""))))))))))</x:f>
      </x:c>
    </x:row>
    <x:row r="463" ht="24" customHeight="1">
      <x:c r="A463" s="10"/>
      <x:c r="B463" s="5"/>
      <x:c r="C463" s="10"/>
      <x:c r="D463" s="10"/>
      <x:c r="E463" s="10"/>
      <x:c r="F463" s="10"/>
      <x:c r="G463" s="10"/>
      <x:c r="H463" s="10"/>
      <x:c r="I463" s="11"/>
      <x:c r="J463" s="11"/>
      <x:c r="K463" s="10"/>
      <x:c r="L463" s="10"/>
      <x:c r="M463" s="10"/>
      <x:c r="N463" s="10"/>
      <x:c r="O463" s="1" t="str">
        <x:f>IF(COUNTA(A463:N463)=0,"",IF(OR(A463="",B463="",C463="",NOT(ISNUMBER(D463)),NOT(ISNUMBER(E463))),"Complete required fields",IF(COUNTIFS($A$7:$A$506,A463)&gt;1,"Duplicate ID",IF(COUNTIFS('Accounts'!$A$7:$A$26,C463,'Accounts'!$B$7:$B$26,D463)&lt;&gt;1,"Check account/currency",IF(OR(I463&lt;0,J463&lt;0,AND(I463&gt;0,J463&gt;0),AND(I463=0,J463=0)),"Check amounts",IF(OR(AND(E463="Income",J463&gt;0),AND(E463="Expense",I463&gt;0),AND(E463="Transfer in",J463&gt;0),AND(E463="Transfer out",I463&gt;0)),"Check type/direction",IF(AND(OR(E463="Transfer in",E463="Transfer out"),M463=""),"Add transfer pair ID",IF(AND(OR(E463="Transfer in",E463="Transfer out"),COUNTIFS($M$7:$M$506,M463,$D$7:$D$506,D463)&lt;&gt;2),"Check transfer pair",IF(AND(E463="Expense",K463=""),"Assign budget fund",IF(AND(E463="Expense",L463=""),"Add receipt / proof",""))))))))))</x:f>
      </x:c>
    </x:row>
    <x:row r="464" ht="24" customHeight="1">
      <x:c r="A464" s="10"/>
      <x:c r="B464" s="5"/>
      <x:c r="C464" s="10"/>
      <x:c r="D464" s="10"/>
      <x:c r="E464" s="10"/>
      <x:c r="F464" s="10"/>
      <x:c r="G464" s="10"/>
      <x:c r="H464" s="10"/>
      <x:c r="I464" s="11"/>
      <x:c r="J464" s="11"/>
      <x:c r="K464" s="10"/>
      <x:c r="L464" s="10"/>
      <x:c r="M464" s="10"/>
      <x:c r="N464" s="10"/>
      <x:c r="O464" s="1" t="str">
        <x:f>IF(COUNTA(A464:N464)=0,"",IF(OR(A464="",B464="",C464="",NOT(ISNUMBER(D464)),NOT(ISNUMBER(E464))),"Complete required fields",IF(COUNTIFS($A$7:$A$506,A464)&gt;1,"Duplicate ID",IF(COUNTIFS('Accounts'!$A$7:$A$26,C464,'Accounts'!$B$7:$B$26,D464)&lt;&gt;1,"Check account/currency",IF(OR(I464&lt;0,J464&lt;0,AND(I464&gt;0,J464&gt;0),AND(I464=0,J464=0)),"Check amounts",IF(OR(AND(E464="Income",J464&gt;0),AND(E464="Expense",I464&gt;0),AND(E464="Transfer in",J464&gt;0),AND(E464="Transfer out",I464&gt;0)),"Check type/direction",IF(AND(OR(E464="Transfer in",E464="Transfer out"),M464=""),"Add transfer pair ID",IF(AND(OR(E464="Transfer in",E464="Transfer out"),COUNTIFS($M$7:$M$506,M464,$D$7:$D$506,D464)&lt;&gt;2),"Check transfer pair",IF(AND(E464="Expense",K464=""),"Assign budget fund",IF(AND(E464="Expense",L464=""),"Add receipt / proof",""))))))))))</x:f>
      </x:c>
    </x:row>
    <x:row r="465" ht="24" customHeight="1">
      <x:c r="A465" s="10"/>
      <x:c r="B465" s="5"/>
      <x:c r="C465" s="10"/>
      <x:c r="D465" s="10"/>
      <x:c r="E465" s="10"/>
      <x:c r="F465" s="10"/>
      <x:c r="G465" s="10"/>
      <x:c r="H465" s="10"/>
      <x:c r="I465" s="11"/>
      <x:c r="J465" s="11"/>
      <x:c r="K465" s="10"/>
      <x:c r="L465" s="10"/>
      <x:c r="M465" s="10"/>
      <x:c r="N465" s="10"/>
      <x:c r="O465" s="1" t="str">
        <x:f>IF(COUNTA(A465:N465)=0,"",IF(OR(A465="",B465="",C465="",NOT(ISNUMBER(D465)),NOT(ISNUMBER(E465))),"Complete required fields",IF(COUNTIFS($A$7:$A$506,A465)&gt;1,"Duplicate ID",IF(COUNTIFS('Accounts'!$A$7:$A$26,C465,'Accounts'!$B$7:$B$26,D465)&lt;&gt;1,"Check account/currency",IF(OR(I465&lt;0,J465&lt;0,AND(I465&gt;0,J465&gt;0),AND(I465=0,J465=0)),"Check amounts",IF(OR(AND(E465="Income",J465&gt;0),AND(E465="Expense",I465&gt;0),AND(E465="Transfer in",J465&gt;0),AND(E465="Transfer out",I465&gt;0)),"Check type/direction",IF(AND(OR(E465="Transfer in",E465="Transfer out"),M465=""),"Add transfer pair ID",IF(AND(OR(E465="Transfer in",E465="Transfer out"),COUNTIFS($M$7:$M$506,M465,$D$7:$D$506,D465)&lt;&gt;2),"Check transfer pair",IF(AND(E465="Expense",K465=""),"Assign budget fund",IF(AND(E465="Expense",L465=""),"Add receipt / proof",""))))))))))</x:f>
      </x:c>
    </x:row>
    <x:row r="466" ht="24" customHeight="1">
      <x:c r="A466" s="10"/>
      <x:c r="B466" s="5"/>
      <x:c r="C466" s="10"/>
      <x:c r="D466" s="10"/>
      <x:c r="E466" s="10"/>
      <x:c r="F466" s="10"/>
      <x:c r="G466" s="10"/>
      <x:c r="H466" s="10"/>
      <x:c r="I466" s="11"/>
      <x:c r="J466" s="11"/>
      <x:c r="K466" s="10"/>
      <x:c r="L466" s="10"/>
      <x:c r="M466" s="10"/>
      <x:c r="N466" s="10"/>
      <x:c r="O466" s="1" t="str">
        <x:f>IF(COUNTA(A466:N466)=0,"",IF(OR(A466="",B466="",C466="",NOT(ISNUMBER(D466)),NOT(ISNUMBER(E466))),"Complete required fields",IF(COUNTIFS($A$7:$A$506,A466)&gt;1,"Duplicate ID",IF(COUNTIFS('Accounts'!$A$7:$A$26,C466,'Accounts'!$B$7:$B$26,D466)&lt;&gt;1,"Check account/currency",IF(OR(I466&lt;0,J466&lt;0,AND(I466&gt;0,J466&gt;0),AND(I466=0,J466=0)),"Check amounts",IF(OR(AND(E466="Income",J466&gt;0),AND(E466="Expense",I466&gt;0),AND(E466="Transfer in",J466&gt;0),AND(E466="Transfer out",I466&gt;0)),"Check type/direction",IF(AND(OR(E466="Transfer in",E466="Transfer out"),M466=""),"Add transfer pair ID",IF(AND(OR(E466="Transfer in",E466="Transfer out"),COUNTIFS($M$7:$M$506,M466,$D$7:$D$506,D466)&lt;&gt;2),"Check transfer pair",IF(AND(E466="Expense",K466=""),"Assign budget fund",IF(AND(E466="Expense",L466=""),"Add receipt / proof",""))))))))))</x:f>
      </x:c>
    </x:row>
    <x:row r="467" ht="24" customHeight="1">
      <x:c r="A467" s="10"/>
      <x:c r="B467" s="5"/>
      <x:c r="C467" s="10"/>
      <x:c r="D467" s="10"/>
      <x:c r="E467" s="10"/>
      <x:c r="F467" s="10"/>
      <x:c r="G467" s="10"/>
      <x:c r="H467" s="10"/>
      <x:c r="I467" s="11"/>
      <x:c r="J467" s="11"/>
      <x:c r="K467" s="10"/>
      <x:c r="L467" s="10"/>
      <x:c r="M467" s="10"/>
      <x:c r="N467" s="10"/>
      <x:c r="O467" s="1" t="str">
        <x:f>IF(COUNTA(A467:N467)=0,"",IF(OR(A467="",B467="",C467="",NOT(ISNUMBER(D467)),NOT(ISNUMBER(E467))),"Complete required fields",IF(COUNTIFS($A$7:$A$506,A467)&gt;1,"Duplicate ID",IF(COUNTIFS('Accounts'!$A$7:$A$26,C467,'Accounts'!$B$7:$B$26,D467)&lt;&gt;1,"Check account/currency",IF(OR(I467&lt;0,J467&lt;0,AND(I467&gt;0,J467&gt;0),AND(I467=0,J467=0)),"Check amounts",IF(OR(AND(E467="Income",J467&gt;0),AND(E467="Expense",I467&gt;0),AND(E467="Transfer in",J467&gt;0),AND(E467="Transfer out",I467&gt;0)),"Check type/direction",IF(AND(OR(E467="Transfer in",E467="Transfer out"),M467=""),"Add transfer pair ID",IF(AND(OR(E467="Transfer in",E467="Transfer out"),COUNTIFS($M$7:$M$506,M467,$D$7:$D$506,D467)&lt;&gt;2),"Check transfer pair",IF(AND(E467="Expense",K467=""),"Assign budget fund",IF(AND(E467="Expense",L467=""),"Add receipt / proof",""))))))))))</x:f>
      </x:c>
    </x:row>
    <x:row r="468" ht="24" customHeight="1">
      <x:c r="A468" s="10"/>
      <x:c r="B468" s="5"/>
      <x:c r="C468" s="10"/>
      <x:c r="D468" s="10"/>
      <x:c r="E468" s="10"/>
      <x:c r="F468" s="10"/>
      <x:c r="G468" s="10"/>
      <x:c r="H468" s="10"/>
      <x:c r="I468" s="11"/>
      <x:c r="J468" s="11"/>
      <x:c r="K468" s="10"/>
      <x:c r="L468" s="10"/>
      <x:c r="M468" s="10"/>
      <x:c r="N468" s="10"/>
      <x:c r="O468" s="1" t="str">
        <x:f>IF(COUNTA(A468:N468)=0,"",IF(OR(A468="",B468="",C468="",NOT(ISNUMBER(D468)),NOT(ISNUMBER(E468))),"Complete required fields",IF(COUNTIFS($A$7:$A$506,A468)&gt;1,"Duplicate ID",IF(COUNTIFS('Accounts'!$A$7:$A$26,C468,'Accounts'!$B$7:$B$26,D468)&lt;&gt;1,"Check account/currency",IF(OR(I468&lt;0,J468&lt;0,AND(I468&gt;0,J468&gt;0),AND(I468=0,J468=0)),"Check amounts",IF(OR(AND(E468="Income",J468&gt;0),AND(E468="Expense",I468&gt;0),AND(E468="Transfer in",J468&gt;0),AND(E468="Transfer out",I468&gt;0)),"Check type/direction",IF(AND(OR(E468="Transfer in",E468="Transfer out"),M468=""),"Add transfer pair ID",IF(AND(OR(E468="Transfer in",E468="Transfer out"),COUNTIFS($M$7:$M$506,M468,$D$7:$D$506,D468)&lt;&gt;2),"Check transfer pair",IF(AND(E468="Expense",K468=""),"Assign budget fund",IF(AND(E468="Expense",L468=""),"Add receipt / proof",""))))))))))</x:f>
      </x:c>
    </x:row>
    <x:row r="469" ht="24" customHeight="1">
      <x:c r="A469" s="10"/>
      <x:c r="B469" s="5"/>
      <x:c r="C469" s="10"/>
      <x:c r="D469" s="10"/>
      <x:c r="E469" s="10"/>
      <x:c r="F469" s="10"/>
      <x:c r="G469" s="10"/>
      <x:c r="H469" s="10"/>
      <x:c r="I469" s="11"/>
      <x:c r="J469" s="11"/>
      <x:c r="K469" s="10"/>
      <x:c r="L469" s="10"/>
      <x:c r="M469" s="10"/>
      <x:c r="N469" s="10"/>
      <x:c r="O469" s="1" t="str">
        <x:f>IF(COUNTA(A469:N469)=0,"",IF(OR(A469="",B469="",C469="",NOT(ISNUMBER(D469)),NOT(ISNUMBER(E469))),"Complete required fields",IF(COUNTIFS($A$7:$A$506,A469)&gt;1,"Duplicate ID",IF(COUNTIFS('Accounts'!$A$7:$A$26,C469,'Accounts'!$B$7:$B$26,D469)&lt;&gt;1,"Check account/currency",IF(OR(I469&lt;0,J469&lt;0,AND(I469&gt;0,J469&gt;0),AND(I469=0,J469=0)),"Check amounts",IF(OR(AND(E469="Income",J469&gt;0),AND(E469="Expense",I469&gt;0),AND(E469="Transfer in",J469&gt;0),AND(E469="Transfer out",I469&gt;0)),"Check type/direction",IF(AND(OR(E469="Transfer in",E469="Transfer out"),M469=""),"Add transfer pair ID",IF(AND(OR(E469="Transfer in",E469="Transfer out"),COUNTIFS($M$7:$M$506,M469,$D$7:$D$506,D469)&lt;&gt;2),"Check transfer pair",IF(AND(E469="Expense",K469=""),"Assign budget fund",IF(AND(E469="Expense",L469=""),"Add receipt / proof",""))))))))))</x:f>
      </x:c>
    </x:row>
    <x:row r="470" ht="24" customHeight="1">
      <x:c r="A470" s="10"/>
      <x:c r="B470" s="5"/>
      <x:c r="C470" s="10"/>
      <x:c r="D470" s="10"/>
      <x:c r="E470" s="10"/>
      <x:c r="F470" s="10"/>
      <x:c r="G470" s="10"/>
      <x:c r="H470" s="10"/>
      <x:c r="I470" s="11"/>
      <x:c r="J470" s="11"/>
      <x:c r="K470" s="10"/>
      <x:c r="L470" s="10"/>
      <x:c r="M470" s="10"/>
      <x:c r="N470" s="10"/>
      <x:c r="O470" s="1" t="str">
        <x:f>IF(COUNTA(A470:N470)=0,"",IF(OR(A470="",B470="",C470="",NOT(ISNUMBER(D470)),NOT(ISNUMBER(E470))),"Complete required fields",IF(COUNTIFS($A$7:$A$506,A470)&gt;1,"Duplicate ID",IF(COUNTIFS('Accounts'!$A$7:$A$26,C470,'Accounts'!$B$7:$B$26,D470)&lt;&gt;1,"Check account/currency",IF(OR(I470&lt;0,J470&lt;0,AND(I470&gt;0,J470&gt;0),AND(I470=0,J470=0)),"Check amounts",IF(OR(AND(E470="Income",J470&gt;0),AND(E470="Expense",I470&gt;0),AND(E470="Transfer in",J470&gt;0),AND(E470="Transfer out",I470&gt;0)),"Check type/direction",IF(AND(OR(E470="Transfer in",E470="Transfer out"),M470=""),"Add transfer pair ID",IF(AND(OR(E470="Transfer in",E470="Transfer out"),COUNTIFS($M$7:$M$506,M470,$D$7:$D$506,D470)&lt;&gt;2),"Check transfer pair",IF(AND(E470="Expense",K470=""),"Assign budget fund",IF(AND(E470="Expense",L470=""),"Add receipt / proof",""))))))))))</x:f>
      </x:c>
    </x:row>
    <x:row r="471" ht="24" customHeight="1">
      <x:c r="A471" s="10"/>
      <x:c r="B471" s="5"/>
      <x:c r="C471" s="10"/>
      <x:c r="D471" s="10"/>
      <x:c r="E471" s="10"/>
      <x:c r="F471" s="10"/>
      <x:c r="G471" s="10"/>
      <x:c r="H471" s="10"/>
      <x:c r="I471" s="11"/>
      <x:c r="J471" s="11"/>
      <x:c r="K471" s="10"/>
      <x:c r="L471" s="10"/>
      <x:c r="M471" s="10"/>
      <x:c r="N471" s="10"/>
      <x:c r="O471" s="1" t="str">
        <x:f>IF(COUNTA(A471:N471)=0,"",IF(OR(A471="",B471="",C471="",NOT(ISNUMBER(D471)),NOT(ISNUMBER(E471))),"Complete required fields",IF(COUNTIFS($A$7:$A$506,A471)&gt;1,"Duplicate ID",IF(COUNTIFS('Accounts'!$A$7:$A$26,C471,'Accounts'!$B$7:$B$26,D471)&lt;&gt;1,"Check account/currency",IF(OR(I471&lt;0,J471&lt;0,AND(I471&gt;0,J471&gt;0),AND(I471=0,J471=0)),"Check amounts",IF(OR(AND(E471="Income",J471&gt;0),AND(E471="Expense",I471&gt;0),AND(E471="Transfer in",J471&gt;0),AND(E471="Transfer out",I471&gt;0)),"Check type/direction",IF(AND(OR(E471="Transfer in",E471="Transfer out"),M471=""),"Add transfer pair ID",IF(AND(OR(E471="Transfer in",E471="Transfer out"),COUNTIFS($M$7:$M$506,M471,$D$7:$D$506,D471)&lt;&gt;2),"Check transfer pair",IF(AND(E471="Expense",K471=""),"Assign budget fund",IF(AND(E471="Expense",L471=""),"Add receipt / proof",""))))))))))</x:f>
      </x:c>
    </x:row>
    <x:row r="472" ht="24" customHeight="1">
      <x:c r="A472" s="10"/>
      <x:c r="B472" s="5"/>
      <x:c r="C472" s="10"/>
      <x:c r="D472" s="10"/>
      <x:c r="E472" s="10"/>
      <x:c r="F472" s="10"/>
      <x:c r="G472" s="10"/>
      <x:c r="H472" s="10"/>
      <x:c r="I472" s="11"/>
      <x:c r="J472" s="11"/>
      <x:c r="K472" s="10"/>
      <x:c r="L472" s="10"/>
      <x:c r="M472" s="10"/>
      <x:c r="N472" s="10"/>
      <x:c r="O472" s="1" t="str">
        <x:f>IF(COUNTA(A472:N472)=0,"",IF(OR(A472="",B472="",C472="",NOT(ISNUMBER(D472)),NOT(ISNUMBER(E472))),"Complete required fields",IF(COUNTIFS($A$7:$A$506,A472)&gt;1,"Duplicate ID",IF(COUNTIFS('Accounts'!$A$7:$A$26,C472,'Accounts'!$B$7:$B$26,D472)&lt;&gt;1,"Check account/currency",IF(OR(I472&lt;0,J472&lt;0,AND(I472&gt;0,J472&gt;0),AND(I472=0,J472=0)),"Check amounts",IF(OR(AND(E472="Income",J472&gt;0),AND(E472="Expense",I472&gt;0),AND(E472="Transfer in",J472&gt;0),AND(E472="Transfer out",I472&gt;0)),"Check type/direction",IF(AND(OR(E472="Transfer in",E472="Transfer out"),M472=""),"Add transfer pair ID",IF(AND(OR(E472="Transfer in",E472="Transfer out"),COUNTIFS($M$7:$M$506,M472,$D$7:$D$506,D472)&lt;&gt;2),"Check transfer pair",IF(AND(E472="Expense",K472=""),"Assign budget fund",IF(AND(E472="Expense",L472=""),"Add receipt / proof",""))))))))))</x:f>
      </x:c>
    </x:row>
    <x:row r="473" ht="24" customHeight="1">
      <x:c r="A473" s="10"/>
      <x:c r="B473" s="5"/>
      <x:c r="C473" s="10"/>
      <x:c r="D473" s="10"/>
      <x:c r="E473" s="10"/>
      <x:c r="F473" s="10"/>
      <x:c r="G473" s="10"/>
      <x:c r="H473" s="10"/>
      <x:c r="I473" s="11"/>
      <x:c r="J473" s="11"/>
      <x:c r="K473" s="10"/>
      <x:c r="L473" s="10"/>
      <x:c r="M473" s="10"/>
      <x:c r="N473" s="10"/>
      <x:c r="O473" s="1" t="str">
        <x:f>IF(COUNTA(A473:N473)=0,"",IF(OR(A473="",B473="",C473="",NOT(ISNUMBER(D473)),NOT(ISNUMBER(E473))),"Complete required fields",IF(COUNTIFS($A$7:$A$506,A473)&gt;1,"Duplicate ID",IF(COUNTIFS('Accounts'!$A$7:$A$26,C473,'Accounts'!$B$7:$B$26,D473)&lt;&gt;1,"Check account/currency",IF(OR(I473&lt;0,J473&lt;0,AND(I473&gt;0,J473&gt;0),AND(I473=0,J473=0)),"Check amounts",IF(OR(AND(E473="Income",J473&gt;0),AND(E473="Expense",I473&gt;0),AND(E473="Transfer in",J473&gt;0),AND(E473="Transfer out",I473&gt;0)),"Check type/direction",IF(AND(OR(E473="Transfer in",E473="Transfer out"),M473=""),"Add transfer pair ID",IF(AND(OR(E473="Transfer in",E473="Transfer out"),COUNTIFS($M$7:$M$506,M473,$D$7:$D$506,D473)&lt;&gt;2),"Check transfer pair",IF(AND(E473="Expense",K473=""),"Assign budget fund",IF(AND(E473="Expense",L473=""),"Add receipt / proof",""))))))))))</x:f>
      </x:c>
    </x:row>
    <x:row r="474" ht="24" customHeight="1">
      <x:c r="A474" s="10"/>
      <x:c r="B474" s="5"/>
      <x:c r="C474" s="10"/>
      <x:c r="D474" s="10"/>
      <x:c r="E474" s="10"/>
      <x:c r="F474" s="10"/>
      <x:c r="G474" s="10"/>
      <x:c r="H474" s="10"/>
      <x:c r="I474" s="11"/>
      <x:c r="J474" s="11"/>
      <x:c r="K474" s="10"/>
      <x:c r="L474" s="10"/>
      <x:c r="M474" s="10"/>
      <x:c r="N474" s="10"/>
      <x:c r="O474" s="1" t="str">
        <x:f>IF(COUNTA(A474:N474)=0,"",IF(OR(A474="",B474="",C474="",NOT(ISNUMBER(D474)),NOT(ISNUMBER(E474))),"Complete required fields",IF(COUNTIFS($A$7:$A$506,A474)&gt;1,"Duplicate ID",IF(COUNTIFS('Accounts'!$A$7:$A$26,C474,'Accounts'!$B$7:$B$26,D474)&lt;&gt;1,"Check account/currency",IF(OR(I474&lt;0,J474&lt;0,AND(I474&gt;0,J474&gt;0),AND(I474=0,J474=0)),"Check amounts",IF(OR(AND(E474="Income",J474&gt;0),AND(E474="Expense",I474&gt;0),AND(E474="Transfer in",J474&gt;0),AND(E474="Transfer out",I474&gt;0)),"Check type/direction",IF(AND(OR(E474="Transfer in",E474="Transfer out"),M474=""),"Add transfer pair ID",IF(AND(OR(E474="Transfer in",E474="Transfer out"),COUNTIFS($M$7:$M$506,M474,$D$7:$D$506,D474)&lt;&gt;2),"Check transfer pair",IF(AND(E474="Expense",K474=""),"Assign budget fund",IF(AND(E474="Expense",L474=""),"Add receipt / proof",""))))))))))</x:f>
      </x:c>
    </x:row>
    <x:row r="475" ht="24" customHeight="1">
      <x:c r="A475" s="10"/>
      <x:c r="B475" s="5"/>
      <x:c r="C475" s="10"/>
      <x:c r="D475" s="10"/>
      <x:c r="E475" s="10"/>
      <x:c r="F475" s="10"/>
      <x:c r="G475" s="10"/>
      <x:c r="H475" s="10"/>
      <x:c r="I475" s="11"/>
      <x:c r="J475" s="11"/>
      <x:c r="K475" s="10"/>
      <x:c r="L475" s="10"/>
      <x:c r="M475" s="10"/>
      <x:c r="N475" s="10"/>
      <x:c r="O475" s="1" t="str">
        <x:f>IF(COUNTA(A475:N475)=0,"",IF(OR(A475="",B475="",C475="",NOT(ISNUMBER(D475)),NOT(ISNUMBER(E475))),"Complete required fields",IF(COUNTIFS($A$7:$A$506,A475)&gt;1,"Duplicate ID",IF(COUNTIFS('Accounts'!$A$7:$A$26,C475,'Accounts'!$B$7:$B$26,D475)&lt;&gt;1,"Check account/currency",IF(OR(I475&lt;0,J475&lt;0,AND(I475&gt;0,J475&gt;0),AND(I475=0,J475=0)),"Check amounts",IF(OR(AND(E475="Income",J475&gt;0),AND(E475="Expense",I475&gt;0),AND(E475="Transfer in",J475&gt;0),AND(E475="Transfer out",I475&gt;0)),"Check type/direction",IF(AND(OR(E475="Transfer in",E475="Transfer out"),M475=""),"Add transfer pair ID",IF(AND(OR(E475="Transfer in",E475="Transfer out"),COUNTIFS($M$7:$M$506,M475,$D$7:$D$506,D475)&lt;&gt;2),"Check transfer pair",IF(AND(E475="Expense",K475=""),"Assign budget fund",IF(AND(E475="Expense",L475=""),"Add receipt / proof",""))))))))))</x:f>
      </x:c>
    </x:row>
    <x:row r="476" ht="24" customHeight="1">
      <x:c r="A476" s="10"/>
      <x:c r="B476" s="5"/>
      <x:c r="C476" s="10"/>
      <x:c r="D476" s="10"/>
      <x:c r="E476" s="10"/>
      <x:c r="F476" s="10"/>
      <x:c r="G476" s="10"/>
      <x:c r="H476" s="10"/>
      <x:c r="I476" s="11"/>
      <x:c r="J476" s="11"/>
      <x:c r="K476" s="10"/>
      <x:c r="L476" s="10"/>
      <x:c r="M476" s="10"/>
      <x:c r="N476" s="10"/>
      <x:c r="O476" s="1" t="str">
        <x:f>IF(COUNTA(A476:N476)=0,"",IF(OR(A476="",B476="",C476="",NOT(ISNUMBER(D476)),NOT(ISNUMBER(E476))),"Complete required fields",IF(COUNTIFS($A$7:$A$506,A476)&gt;1,"Duplicate ID",IF(COUNTIFS('Accounts'!$A$7:$A$26,C476,'Accounts'!$B$7:$B$26,D476)&lt;&gt;1,"Check account/currency",IF(OR(I476&lt;0,J476&lt;0,AND(I476&gt;0,J476&gt;0),AND(I476=0,J476=0)),"Check amounts",IF(OR(AND(E476="Income",J476&gt;0),AND(E476="Expense",I476&gt;0),AND(E476="Transfer in",J476&gt;0),AND(E476="Transfer out",I476&gt;0)),"Check type/direction",IF(AND(OR(E476="Transfer in",E476="Transfer out"),M476=""),"Add transfer pair ID",IF(AND(OR(E476="Transfer in",E476="Transfer out"),COUNTIFS($M$7:$M$506,M476,$D$7:$D$506,D476)&lt;&gt;2),"Check transfer pair",IF(AND(E476="Expense",K476=""),"Assign budget fund",IF(AND(E476="Expense",L476=""),"Add receipt / proof",""))))))))))</x:f>
      </x:c>
    </x:row>
    <x:row r="477" ht="24" customHeight="1">
      <x:c r="A477" s="10"/>
      <x:c r="B477" s="5"/>
      <x:c r="C477" s="10"/>
      <x:c r="D477" s="10"/>
      <x:c r="E477" s="10"/>
      <x:c r="F477" s="10"/>
      <x:c r="G477" s="10"/>
      <x:c r="H477" s="10"/>
      <x:c r="I477" s="11"/>
      <x:c r="J477" s="11"/>
      <x:c r="K477" s="10"/>
      <x:c r="L477" s="10"/>
      <x:c r="M477" s="10"/>
      <x:c r="N477" s="10"/>
      <x:c r="O477" s="1" t="str">
        <x:f>IF(COUNTA(A477:N477)=0,"",IF(OR(A477="",B477="",C477="",NOT(ISNUMBER(D477)),NOT(ISNUMBER(E477))),"Complete required fields",IF(COUNTIFS($A$7:$A$506,A477)&gt;1,"Duplicate ID",IF(COUNTIFS('Accounts'!$A$7:$A$26,C477,'Accounts'!$B$7:$B$26,D477)&lt;&gt;1,"Check account/currency",IF(OR(I477&lt;0,J477&lt;0,AND(I477&gt;0,J477&gt;0),AND(I477=0,J477=0)),"Check amounts",IF(OR(AND(E477="Income",J477&gt;0),AND(E477="Expense",I477&gt;0),AND(E477="Transfer in",J477&gt;0),AND(E477="Transfer out",I477&gt;0)),"Check type/direction",IF(AND(OR(E477="Transfer in",E477="Transfer out"),M477=""),"Add transfer pair ID",IF(AND(OR(E477="Transfer in",E477="Transfer out"),COUNTIFS($M$7:$M$506,M477,$D$7:$D$506,D477)&lt;&gt;2),"Check transfer pair",IF(AND(E477="Expense",K477=""),"Assign budget fund",IF(AND(E477="Expense",L477=""),"Add receipt / proof",""))))))))))</x:f>
      </x:c>
    </x:row>
    <x:row r="478" ht="24" customHeight="1">
      <x:c r="A478" s="10"/>
      <x:c r="B478" s="5"/>
      <x:c r="C478" s="10"/>
      <x:c r="D478" s="10"/>
      <x:c r="E478" s="10"/>
      <x:c r="F478" s="10"/>
      <x:c r="G478" s="10"/>
      <x:c r="H478" s="10"/>
      <x:c r="I478" s="11"/>
      <x:c r="J478" s="11"/>
      <x:c r="K478" s="10"/>
      <x:c r="L478" s="10"/>
      <x:c r="M478" s="10"/>
      <x:c r="N478" s="10"/>
      <x:c r="O478" s="1" t="str">
        <x:f>IF(COUNTA(A478:N478)=0,"",IF(OR(A478="",B478="",C478="",NOT(ISNUMBER(D478)),NOT(ISNUMBER(E478))),"Complete required fields",IF(COUNTIFS($A$7:$A$506,A478)&gt;1,"Duplicate ID",IF(COUNTIFS('Accounts'!$A$7:$A$26,C478,'Accounts'!$B$7:$B$26,D478)&lt;&gt;1,"Check account/currency",IF(OR(I478&lt;0,J478&lt;0,AND(I478&gt;0,J478&gt;0),AND(I478=0,J478=0)),"Check amounts",IF(OR(AND(E478="Income",J478&gt;0),AND(E478="Expense",I478&gt;0),AND(E478="Transfer in",J478&gt;0),AND(E478="Transfer out",I478&gt;0)),"Check type/direction",IF(AND(OR(E478="Transfer in",E478="Transfer out"),M478=""),"Add transfer pair ID",IF(AND(OR(E478="Transfer in",E478="Transfer out"),COUNTIFS($M$7:$M$506,M478,$D$7:$D$506,D478)&lt;&gt;2),"Check transfer pair",IF(AND(E478="Expense",K478=""),"Assign budget fund",IF(AND(E478="Expense",L478=""),"Add receipt / proof",""))))))))))</x:f>
      </x:c>
    </x:row>
    <x:row r="479" ht="24" customHeight="1">
      <x:c r="A479" s="10"/>
      <x:c r="B479" s="5"/>
      <x:c r="C479" s="10"/>
      <x:c r="D479" s="10"/>
      <x:c r="E479" s="10"/>
      <x:c r="F479" s="10"/>
      <x:c r="G479" s="10"/>
      <x:c r="H479" s="10"/>
      <x:c r="I479" s="11"/>
      <x:c r="J479" s="11"/>
      <x:c r="K479" s="10"/>
      <x:c r="L479" s="10"/>
      <x:c r="M479" s="10"/>
      <x:c r="N479" s="10"/>
      <x:c r="O479" s="1" t="str">
        <x:f>IF(COUNTA(A479:N479)=0,"",IF(OR(A479="",B479="",C479="",NOT(ISNUMBER(D479)),NOT(ISNUMBER(E479))),"Complete required fields",IF(COUNTIFS($A$7:$A$506,A479)&gt;1,"Duplicate ID",IF(COUNTIFS('Accounts'!$A$7:$A$26,C479,'Accounts'!$B$7:$B$26,D479)&lt;&gt;1,"Check account/currency",IF(OR(I479&lt;0,J479&lt;0,AND(I479&gt;0,J479&gt;0),AND(I479=0,J479=0)),"Check amounts",IF(OR(AND(E479="Income",J479&gt;0),AND(E479="Expense",I479&gt;0),AND(E479="Transfer in",J479&gt;0),AND(E479="Transfer out",I479&gt;0)),"Check type/direction",IF(AND(OR(E479="Transfer in",E479="Transfer out"),M479=""),"Add transfer pair ID",IF(AND(OR(E479="Transfer in",E479="Transfer out"),COUNTIFS($M$7:$M$506,M479,$D$7:$D$506,D479)&lt;&gt;2),"Check transfer pair",IF(AND(E479="Expense",K479=""),"Assign budget fund",IF(AND(E479="Expense",L479=""),"Add receipt / proof",""))))))))))</x:f>
      </x:c>
    </x:row>
    <x:row r="480" ht="24" customHeight="1">
      <x:c r="A480" s="10"/>
      <x:c r="B480" s="5"/>
      <x:c r="C480" s="10"/>
      <x:c r="D480" s="10"/>
      <x:c r="E480" s="10"/>
      <x:c r="F480" s="10"/>
      <x:c r="G480" s="10"/>
      <x:c r="H480" s="10"/>
      <x:c r="I480" s="11"/>
      <x:c r="J480" s="11"/>
      <x:c r="K480" s="10"/>
      <x:c r="L480" s="10"/>
      <x:c r="M480" s="10"/>
      <x:c r="N480" s="10"/>
      <x:c r="O480" s="1" t="str">
        <x:f>IF(COUNTA(A480:N480)=0,"",IF(OR(A480="",B480="",C480="",NOT(ISNUMBER(D480)),NOT(ISNUMBER(E480))),"Complete required fields",IF(COUNTIFS($A$7:$A$506,A480)&gt;1,"Duplicate ID",IF(COUNTIFS('Accounts'!$A$7:$A$26,C480,'Accounts'!$B$7:$B$26,D480)&lt;&gt;1,"Check account/currency",IF(OR(I480&lt;0,J480&lt;0,AND(I480&gt;0,J480&gt;0),AND(I480=0,J480=0)),"Check amounts",IF(OR(AND(E480="Income",J480&gt;0),AND(E480="Expense",I480&gt;0),AND(E480="Transfer in",J480&gt;0),AND(E480="Transfer out",I480&gt;0)),"Check type/direction",IF(AND(OR(E480="Transfer in",E480="Transfer out"),M480=""),"Add transfer pair ID",IF(AND(OR(E480="Transfer in",E480="Transfer out"),COUNTIFS($M$7:$M$506,M480,$D$7:$D$506,D480)&lt;&gt;2),"Check transfer pair",IF(AND(E480="Expense",K480=""),"Assign budget fund",IF(AND(E480="Expense",L480=""),"Add receipt / proof",""))))))))))</x:f>
      </x:c>
    </x:row>
    <x:row r="481" ht="24" customHeight="1">
      <x:c r="A481" s="10"/>
      <x:c r="B481" s="5"/>
      <x:c r="C481" s="10"/>
      <x:c r="D481" s="10"/>
      <x:c r="E481" s="10"/>
      <x:c r="F481" s="10"/>
      <x:c r="G481" s="10"/>
      <x:c r="H481" s="10"/>
      <x:c r="I481" s="11"/>
      <x:c r="J481" s="11"/>
      <x:c r="K481" s="10"/>
      <x:c r="L481" s="10"/>
      <x:c r="M481" s="10"/>
      <x:c r="N481" s="10"/>
      <x:c r="O481" s="1" t="str">
        <x:f>IF(COUNTA(A481:N481)=0,"",IF(OR(A481="",B481="",C481="",NOT(ISNUMBER(D481)),NOT(ISNUMBER(E481))),"Complete required fields",IF(COUNTIFS($A$7:$A$506,A481)&gt;1,"Duplicate ID",IF(COUNTIFS('Accounts'!$A$7:$A$26,C481,'Accounts'!$B$7:$B$26,D481)&lt;&gt;1,"Check account/currency",IF(OR(I481&lt;0,J481&lt;0,AND(I481&gt;0,J481&gt;0),AND(I481=0,J481=0)),"Check amounts",IF(OR(AND(E481="Income",J481&gt;0),AND(E481="Expense",I481&gt;0),AND(E481="Transfer in",J481&gt;0),AND(E481="Transfer out",I481&gt;0)),"Check type/direction",IF(AND(OR(E481="Transfer in",E481="Transfer out"),M481=""),"Add transfer pair ID",IF(AND(OR(E481="Transfer in",E481="Transfer out"),COUNTIFS($M$7:$M$506,M481,$D$7:$D$506,D481)&lt;&gt;2),"Check transfer pair",IF(AND(E481="Expense",K481=""),"Assign budget fund",IF(AND(E481="Expense",L481=""),"Add receipt / proof",""))))))))))</x:f>
      </x:c>
    </x:row>
    <x:row r="482" ht="24" customHeight="1">
      <x:c r="A482" s="10"/>
      <x:c r="B482" s="5"/>
      <x:c r="C482" s="10"/>
      <x:c r="D482" s="10"/>
      <x:c r="E482" s="10"/>
      <x:c r="F482" s="10"/>
      <x:c r="G482" s="10"/>
      <x:c r="H482" s="10"/>
      <x:c r="I482" s="11"/>
      <x:c r="J482" s="11"/>
      <x:c r="K482" s="10"/>
      <x:c r="L482" s="10"/>
      <x:c r="M482" s="10"/>
      <x:c r="N482" s="10"/>
      <x:c r="O482" s="1" t="str">
        <x:f>IF(COUNTA(A482:N482)=0,"",IF(OR(A482="",B482="",C482="",NOT(ISNUMBER(D482)),NOT(ISNUMBER(E482))),"Complete required fields",IF(COUNTIFS($A$7:$A$506,A482)&gt;1,"Duplicate ID",IF(COUNTIFS('Accounts'!$A$7:$A$26,C482,'Accounts'!$B$7:$B$26,D482)&lt;&gt;1,"Check account/currency",IF(OR(I482&lt;0,J482&lt;0,AND(I482&gt;0,J482&gt;0),AND(I482=0,J482=0)),"Check amounts",IF(OR(AND(E482="Income",J482&gt;0),AND(E482="Expense",I482&gt;0),AND(E482="Transfer in",J482&gt;0),AND(E482="Transfer out",I482&gt;0)),"Check type/direction",IF(AND(OR(E482="Transfer in",E482="Transfer out"),M482=""),"Add transfer pair ID",IF(AND(OR(E482="Transfer in",E482="Transfer out"),COUNTIFS($M$7:$M$506,M482,$D$7:$D$506,D482)&lt;&gt;2),"Check transfer pair",IF(AND(E482="Expense",K482=""),"Assign budget fund",IF(AND(E482="Expense",L482=""),"Add receipt / proof",""))))))))))</x:f>
      </x:c>
    </x:row>
    <x:row r="483" ht="24" customHeight="1">
      <x:c r="A483" s="10"/>
      <x:c r="B483" s="5"/>
      <x:c r="C483" s="10"/>
      <x:c r="D483" s="10"/>
      <x:c r="E483" s="10"/>
      <x:c r="F483" s="10"/>
      <x:c r="G483" s="10"/>
      <x:c r="H483" s="10"/>
      <x:c r="I483" s="11"/>
      <x:c r="J483" s="11"/>
      <x:c r="K483" s="10"/>
      <x:c r="L483" s="10"/>
      <x:c r="M483" s="10"/>
      <x:c r="N483" s="10"/>
      <x:c r="O483" s="1" t="str">
        <x:f>IF(COUNTA(A483:N483)=0,"",IF(OR(A483="",B483="",C483="",NOT(ISNUMBER(D483)),NOT(ISNUMBER(E483))),"Complete required fields",IF(COUNTIFS($A$7:$A$506,A483)&gt;1,"Duplicate ID",IF(COUNTIFS('Accounts'!$A$7:$A$26,C483,'Accounts'!$B$7:$B$26,D483)&lt;&gt;1,"Check account/currency",IF(OR(I483&lt;0,J483&lt;0,AND(I483&gt;0,J483&gt;0),AND(I483=0,J483=0)),"Check amounts",IF(OR(AND(E483="Income",J483&gt;0),AND(E483="Expense",I483&gt;0),AND(E483="Transfer in",J483&gt;0),AND(E483="Transfer out",I483&gt;0)),"Check type/direction",IF(AND(OR(E483="Transfer in",E483="Transfer out"),M483=""),"Add transfer pair ID",IF(AND(OR(E483="Transfer in",E483="Transfer out"),COUNTIFS($M$7:$M$506,M483,$D$7:$D$506,D483)&lt;&gt;2),"Check transfer pair",IF(AND(E483="Expense",K483=""),"Assign budget fund",IF(AND(E483="Expense",L483=""),"Add receipt / proof",""))))))))))</x:f>
      </x:c>
    </x:row>
    <x:row r="484" ht="24" customHeight="1">
      <x:c r="A484" s="10"/>
      <x:c r="B484" s="5"/>
      <x:c r="C484" s="10"/>
      <x:c r="D484" s="10"/>
      <x:c r="E484" s="10"/>
      <x:c r="F484" s="10"/>
      <x:c r="G484" s="10"/>
      <x:c r="H484" s="10"/>
      <x:c r="I484" s="11"/>
      <x:c r="J484" s="11"/>
      <x:c r="K484" s="10"/>
      <x:c r="L484" s="10"/>
      <x:c r="M484" s="10"/>
      <x:c r="N484" s="10"/>
      <x:c r="O484" s="1" t="str">
        <x:f>IF(COUNTA(A484:N484)=0,"",IF(OR(A484="",B484="",C484="",NOT(ISNUMBER(D484)),NOT(ISNUMBER(E484))),"Complete required fields",IF(COUNTIFS($A$7:$A$506,A484)&gt;1,"Duplicate ID",IF(COUNTIFS('Accounts'!$A$7:$A$26,C484,'Accounts'!$B$7:$B$26,D484)&lt;&gt;1,"Check account/currency",IF(OR(I484&lt;0,J484&lt;0,AND(I484&gt;0,J484&gt;0),AND(I484=0,J484=0)),"Check amounts",IF(OR(AND(E484="Income",J484&gt;0),AND(E484="Expense",I484&gt;0),AND(E484="Transfer in",J484&gt;0),AND(E484="Transfer out",I484&gt;0)),"Check type/direction",IF(AND(OR(E484="Transfer in",E484="Transfer out"),M484=""),"Add transfer pair ID",IF(AND(OR(E484="Transfer in",E484="Transfer out"),COUNTIFS($M$7:$M$506,M484,$D$7:$D$506,D484)&lt;&gt;2),"Check transfer pair",IF(AND(E484="Expense",K484=""),"Assign budget fund",IF(AND(E484="Expense",L484=""),"Add receipt / proof",""))))))))))</x:f>
      </x:c>
    </x:row>
    <x:row r="485" ht="24" customHeight="1">
      <x:c r="A485" s="10"/>
      <x:c r="B485" s="5"/>
      <x:c r="C485" s="10"/>
      <x:c r="D485" s="10"/>
      <x:c r="E485" s="10"/>
      <x:c r="F485" s="10"/>
      <x:c r="G485" s="10"/>
      <x:c r="H485" s="10"/>
      <x:c r="I485" s="11"/>
      <x:c r="J485" s="11"/>
      <x:c r="K485" s="10"/>
      <x:c r="L485" s="10"/>
      <x:c r="M485" s="10"/>
      <x:c r="N485" s="10"/>
      <x:c r="O485" s="1" t="str">
        <x:f>IF(COUNTA(A485:N485)=0,"",IF(OR(A485="",B485="",C485="",NOT(ISNUMBER(D485)),NOT(ISNUMBER(E485))),"Complete required fields",IF(COUNTIFS($A$7:$A$506,A485)&gt;1,"Duplicate ID",IF(COUNTIFS('Accounts'!$A$7:$A$26,C485,'Accounts'!$B$7:$B$26,D485)&lt;&gt;1,"Check account/currency",IF(OR(I485&lt;0,J485&lt;0,AND(I485&gt;0,J485&gt;0),AND(I485=0,J485=0)),"Check amounts",IF(OR(AND(E485="Income",J485&gt;0),AND(E485="Expense",I485&gt;0),AND(E485="Transfer in",J485&gt;0),AND(E485="Transfer out",I485&gt;0)),"Check type/direction",IF(AND(OR(E485="Transfer in",E485="Transfer out"),M485=""),"Add transfer pair ID",IF(AND(OR(E485="Transfer in",E485="Transfer out"),COUNTIFS($M$7:$M$506,M485,$D$7:$D$506,D485)&lt;&gt;2),"Check transfer pair",IF(AND(E485="Expense",K485=""),"Assign budget fund",IF(AND(E485="Expense",L485=""),"Add receipt / proof",""))))))))))</x:f>
      </x:c>
    </x:row>
    <x:row r="486" ht="24" customHeight="1">
      <x:c r="A486" s="10"/>
      <x:c r="B486" s="5"/>
      <x:c r="C486" s="10"/>
      <x:c r="D486" s="10"/>
      <x:c r="E486" s="10"/>
      <x:c r="F486" s="10"/>
      <x:c r="G486" s="10"/>
      <x:c r="H486" s="10"/>
      <x:c r="I486" s="11"/>
      <x:c r="J486" s="11"/>
      <x:c r="K486" s="10"/>
      <x:c r="L486" s="10"/>
      <x:c r="M486" s="10"/>
      <x:c r="N486" s="10"/>
      <x:c r="O486" s="1" t="str">
        <x:f>IF(COUNTA(A486:N486)=0,"",IF(OR(A486="",B486="",C486="",NOT(ISNUMBER(D486)),NOT(ISNUMBER(E486))),"Complete required fields",IF(COUNTIFS($A$7:$A$506,A486)&gt;1,"Duplicate ID",IF(COUNTIFS('Accounts'!$A$7:$A$26,C486,'Accounts'!$B$7:$B$26,D486)&lt;&gt;1,"Check account/currency",IF(OR(I486&lt;0,J486&lt;0,AND(I486&gt;0,J486&gt;0),AND(I486=0,J486=0)),"Check amounts",IF(OR(AND(E486="Income",J486&gt;0),AND(E486="Expense",I486&gt;0),AND(E486="Transfer in",J486&gt;0),AND(E486="Transfer out",I486&gt;0)),"Check type/direction",IF(AND(OR(E486="Transfer in",E486="Transfer out"),M486=""),"Add transfer pair ID",IF(AND(OR(E486="Transfer in",E486="Transfer out"),COUNTIFS($M$7:$M$506,M486,$D$7:$D$506,D486)&lt;&gt;2),"Check transfer pair",IF(AND(E486="Expense",K486=""),"Assign budget fund",IF(AND(E486="Expense",L486=""),"Add receipt / proof",""))))))))))</x:f>
      </x:c>
    </x:row>
    <x:row r="487" ht="24" customHeight="1">
      <x:c r="A487" s="10"/>
      <x:c r="B487" s="5"/>
      <x:c r="C487" s="10"/>
      <x:c r="D487" s="10"/>
      <x:c r="E487" s="10"/>
      <x:c r="F487" s="10"/>
      <x:c r="G487" s="10"/>
      <x:c r="H487" s="10"/>
      <x:c r="I487" s="11"/>
      <x:c r="J487" s="11"/>
      <x:c r="K487" s="10"/>
      <x:c r="L487" s="10"/>
      <x:c r="M487" s="10"/>
      <x:c r="N487" s="10"/>
      <x:c r="O487" s="1" t="str">
        <x:f>IF(COUNTA(A487:N487)=0,"",IF(OR(A487="",B487="",C487="",NOT(ISNUMBER(D487)),NOT(ISNUMBER(E487))),"Complete required fields",IF(COUNTIFS($A$7:$A$506,A487)&gt;1,"Duplicate ID",IF(COUNTIFS('Accounts'!$A$7:$A$26,C487,'Accounts'!$B$7:$B$26,D487)&lt;&gt;1,"Check account/currency",IF(OR(I487&lt;0,J487&lt;0,AND(I487&gt;0,J487&gt;0),AND(I487=0,J487=0)),"Check amounts",IF(OR(AND(E487="Income",J487&gt;0),AND(E487="Expense",I487&gt;0),AND(E487="Transfer in",J487&gt;0),AND(E487="Transfer out",I487&gt;0)),"Check type/direction",IF(AND(OR(E487="Transfer in",E487="Transfer out"),M487=""),"Add transfer pair ID",IF(AND(OR(E487="Transfer in",E487="Transfer out"),COUNTIFS($M$7:$M$506,M487,$D$7:$D$506,D487)&lt;&gt;2),"Check transfer pair",IF(AND(E487="Expense",K487=""),"Assign budget fund",IF(AND(E487="Expense",L487=""),"Add receipt / proof",""))))))))))</x:f>
      </x:c>
    </x:row>
    <x:row r="488" ht="24" customHeight="1">
      <x:c r="A488" s="10"/>
      <x:c r="B488" s="5"/>
      <x:c r="C488" s="10"/>
      <x:c r="D488" s="10"/>
      <x:c r="E488" s="10"/>
      <x:c r="F488" s="10"/>
      <x:c r="G488" s="10"/>
      <x:c r="H488" s="10"/>
      <x:c r="I488" s="11"/>
      <x:c r="J488" s="11"/>
      <x:c r="K488" s="10"/>
      <x:c r="L488" s="10"/>
      <x:c r="M488" s="10"/>
      <x:c r="N488" s="10"/>
      <x:c r="O488" s="1" t="str">
        <x:f>IF(COUNTA(A488:N488)=0,"",IF(OR(A488="",B488="",C488="",NOT(ISNUMBER(D488)),NOT(ISNUMBER(E488))),"Complete required fields",IF(COUNTIFS($A$7:$A$506,A488)&gt;1,"Duplicate ID",IF(COUNTIFS('Accounts'!$A$7:$A$26,C488,'Accounts'!$B$7:$B$26,D488)&lt;&gt;1,"Check account/currency",IF(OR(I488&lt;0,J488&lt;0,AND(I488&gt;0,J488&gt;0),AND(I488=0,J488=0)),"Check amounts",IF(OR(AND(E488="Income",J488&gt;0),AND(E488="Expense",I488&gt;0),AND(E488="Transfer in",J488&gt;0),AND(E488="Transfer out",I488&gt;0)),"Check type/direction",IF(AND(OR(E488="Transfer in",E488="Transfer out"),M488=""),"Add transfer pair ID",IF(AND(OR(E488="Transfer in",E488="Transfer out"),COUNTIFS($M$7:$M$506,M488,$D$7:$D$506,D488)&lt;&gt;2),"Check transfer pair",IF(AND(E488="Expense",K488=""),"Assign budget fund",IF(AND(E488="Expense",L488=""),"Add receipt / proof",""))))))))))</x:f>
      </x:c>
    </x:row>
    <x:row r="489" ht="24" customHeight="1">
      <x:c r="A489" s="10"/>
      <x:c r="B489" s="5"/>
      <x:c r="C489" s="10"/>
      <x:c r="D489" s="10"/>
      <x:c r="E489" s="10"/>
      <x:c r="F489" s="10"/>
      <x:c r="G489" s="10"/>
      <x:c r="H489" s="10"/>
      <x:c r="I489" s="11"/>
      <x:c r="J489" s="11"/>
      <x:c r="K489" s="10"/>
      <x:c r="L489" s="10"/>
      <x:c r="M489" s="10"/>
      <x:c r="N489" s="10"/>
      <x:c r="O489" s="1" t="str">
        <x:f>IF(COUNTA(A489:N489)=0,"",IF(OR(A489="",B489="",C489="",NOT(ISNUMBER(D489)),NOT(ISNUMBER(E489))),"Complete required fields",IF(COUNTIFS($A$7:$A$506,A489)&gt;1,"Duplicate ID",IF(COUNTIFS('Accounts'!$A$7:$A$26,C489,'Accounts'!$B$7:$B$26,D489)&lt;&gt;1,"Check account/currency",IF(OR(I489&lt;0,J489&lt;0,AND(I489&gt;0,J489&gt;0),AND(I489=0,J489=0)),"Check amounts",IF(OR(AND(E489="Income",J489&gt;0),AND(E489="Expense",I489&gt;0),AND(E489="Transfer in",J489&gt;0),AND(E489="Transfer out",I489&gt;0)),"Check type/direction",IF(AND(OR(E489="Transfer in",E489="Transfer out"),M489=""),"Add transfer pair ID",IF(AND(OR(E489="Transfer in",E489="Transfer out"),COUNTIFS($M$7:$M$506,M489,$D$7:$D$506,D489)&lt;&gt;2),"Check transfer pair",IF(AND(E489="Expense",K489=""),"Assign budget fund",IF(AND(E489="Expense",L489=""),"Add receipt / proof",""))))))))))</x:f>
      </x:c>
    </x:row>
    <x:row r="490" ht="24" customHeight="1">
      <x:c r="A490" s="10"/>
      <x:c r="B490" s="5"/>
      <x:c r="C490" s="10"/>
      <x:c r="D490" s="10"/>
      <x:c r="E490" s="10"/>
      <x:c r="F490" s="10"/>
      <x:c r="G490" s="10"/>
      <x:c r="H490" s="10"/>
      <x:c r="I490" s="11"/>
      <x:c r="J490" s="11"/>
      <x:c r="K490" s="10"/>
      <x:c r="L490" s="10"/>
      <x:c r="M490" s="10"/>
      <x:c r="N490" s="10"/>
      <x:c r="O490" s="1" t="str">
        <x:f>IF(COUNTA(A490:N490)=0,"",IF(OR(A490="",B490="",C490="",NOT(ISNUMBER(D490)),NOT(ISNUMBER(E490))),"Complete required fields",IF(COUNTIFS($A$7:$A$506,A490)&gt;1,"Duplicate ID",IF(COUNTIFS('Accounts'!$A$7:$A$26,C490,'Accounts'!$B$7:$B$26,D490)&lt;&gt;1,"Check account/currency",IF(OR(I490&lt;0,J490&lt;0,AND(I490&gt;0,J490&gt;0),AND(I490=0,J490=0)),"Check amounts",IF(OR(AND(E490="Income",J490&gt;0),AND(E490="Expense",I490&gt;0),AND(E490="Transfer in",J490&gt;0),AND(E490="Transfer out",I490&gt;0)),"Check type/direction",IF(AND(OR(E490="Transfer in",E490="Transfer out"),M490=""),"Add transfer pair ID",IF(AND(OR(E490="Transfer in",E490="Transfer out"),COUNTIFS($M$7:$M$506,M490,$D$7:$D$506,D490)&lt;&gt;2),"Check transfer pair",IF(AND(E490="Expense",K490=""),"Assign budget fund",IF(AND(E490="Expense",L490=""),"Add receipt / proof",""))))))))))</x:f>
      </x:c>
    </x:row>
    <x:row r="491" ht="24" customHeight="1">
      <x:c r="A491" s="10"/>
      <x:c r="B491" s="5"/>
      <x:c r="C491" s="10"/>
      <x:c r="D491" s="10"/>
      <x:c r="E491" s="10"/>
      <x:c r="F491" s="10"/>
      <x:c r="G491" s="10"/>
      <x:c r="H491" s="10"/>
      <x:c r="I491" s="11"/>
      <x:c r="J491" s="11"/>
      <x:c r="K491" s="10"/>
      <x:c r="L491" s="10"/>
      <x:c r="M491" s="10"/>
      <x:c r="N491" s="10"/>
      <x:c r="O491" s="1" t="str">
        <x:f>IF(COUNTA(A491:N491)=0,"",IF(OR(A491="",B491="",C491="",NOT(ISNUMBER(D491)),NOT(ISNUMBER(E491))),"Complete required fields",IF(COUNTIFS($A$7:$A$506,A491)&gt;1,"Duplicate ID",IF(COUNTIFS('Accounts'!$A$7:$A$26,C491,'Accounts'!$B$7:$B$26,D491)&lt;&gt;1,"Check account/currency",IF(OR(I491&lt;0,J491&lt;0,AND(I491&gt;0,J491&gt;0),AND(I491=0,J491=0)),"Check amounts",IF(OR(AND(E491="Income",J491&gt;0),AND(E491="Expense",I491&gt;0),AND(E491="Transfer in",J491&gt;0),AND(E491="Transfer out",I491&gt;0)),"Check type/direction",IF(AND(OR(E491="Transfer in",E491="Transfer out"),M491=""),"Add transfer pair ID",IF(AND(OR(E491="Transfer in",E491="Transfer out"),COUNTIFS($M$7:$M$506,M491,$D$7:$D$506,D491)&lt;&gt;2),"Check transfer pair",IF(AND(E491="Expense",K491=""),"Assign budget fund",IF(AND(E491="Expense",L491=""),"Add receipt / proof",""))))))))))</x:f>
      </x:c>
    </x:row>
    <x:row r="492" ht="24" customHeight="1">
      <x:c r="A492" s="10"/>
      <x:c r="B492" s="5"/>
      <x:c r="C492" s="10"/>
      <x:c r="D492" s="10"/>
      <x:c r="E492" s="10"/>
      <x:c r="F492" s="10"/>
      <x:c r="G492" s="10"/>
      <x:c r="H492" s="10"/>
      <x:c r="I492" s="11"/>
      <x:c r="J492" s="11"/>
      <x:c r="K492" s="10"/>
      <x:c r="L492" s="10"/>
      <x:c r="M492" s="10"/>
      <x:c r="N492" s="10"/>
      <x:c r="O492" s="1" t="str">
        <x:f>IF(COUNTA(A492:N492)=0,"",IF(OR(A492="",B492="",C492="",NOT(ISNUMBER(D492)),NOT(ISNUMBER(E492))),"Complete required fields",IF(COUNTIFS($A$7:$A$506,A492)&gt;1,"Duplicate ID",IF(COUNTIFS('Accounts'!$A$7:$A$26,C492,'Accounts'!$B$7:$B$26,D492)&lt;&gt;1,"Check account/currency",IF(OR(I492&lt;0,J492&lt;0,AND(I492&gt;0,J492&gt;0),AND(I492=0,J492=0)),"Check amounts",IF(OR(AND(E492="Income",J492&gt;0),AND(E492="Expense",I492&gt;0),AND(E492="Transfer in",J492&gt;0),AND(E492="Transfer out",I492&gt;0)),"Check type/direction",IF(AND(OR(E492="Transfer in",E492="Transfer out"),M492=""),"Add transfer pair ID",IF(AND(OR(E492="Transfer in",E492="Transfer out"),COUNTIFS($M$7:$M$506,M492,$D$7:$D$506,D492)&lt;&gt;2),"Check transfer pair",IF(AND(E492="Expense",K492=""),"Assign budget fund",IF(AND(E492="Expense",L492=""),"Add receipt / proof",""))))))))))</x:f>
      </x:c>
    </x:row>
    <x:row r="493" ht="24" customHeight="1">
      <x:c r="A493" s="10"/>
      <x:c r="B493" s="5"/>
      <x:c r="C493" s="10"/>
      <x:c r="D493" s="10"/>
      <x:c r="E493" s="10"/>
      <x:c r="F493" s="10"/>
      <x:c r="G493" s="10"/>
      <x:c r="H493" s="10"/>
      <x:c r="I493" s="11"/>
      <x:c r="J493" s="11"/>
      <x:c r="K493" s="10"/>
      <x:c r="L493" s="10"/>
      <x:c r="M493" s="10"/>
      <x:c r="N493" s="10"/>
      <x:c r="O493" s="1" t="str">
        <x:f>IF(COUNTA(A493:N493)=0,"",IF(OR(A493="",B493="",C493="",NOT(ISNUMBER(D493)),NOT(ISNUMBER(E493))),"Complete required fields",IF(COUNTIFS($A$7:$A$506,A493)&gt;1,"Duplicate ID",IF(COUNTIFS('Accounts'!$A$7:$A$26,C493,'Accounts'!$B$7:$B$26,D493)&lt;&gt;1,"Check account/currency",IF(OR(I493&lt;0,J493&lt;0,AND(I493&gt;0,J493&gt;0),AND(I493=0,J493=0)),"Check amounts",IF(OR(AND(E493="Income",J493&gt;0),AND(E493="Expense",I493&gt;0),AND(E493="Transfer in",J493&gt;0),AND(E493="Transfer out",I493&gt;0)),"Check type/direction",IF(AND(OR(E493="Transfer in",E493="Transfer out"),M493=""),"Add transfer pair ID",IF(AND(OR(E493="Transfer in",E493="Transfer out"),COUNTIFS($M$7:$M$506,M493,$D$7:$D$506,D493)&lt;&gt;2),"Check transfer pair",IF(AND(E493="Expense",K493=""),"Assign budget fund",IF(AND(E493="Expense",L493=""),"Add receipt / proof",""))))))))))</x:f>
      </x:c>
    </x:row>
    <x:row r="494" ht="24" customHeight="1">
      <x:c r="A494" s="10"/>
      <x:c r="B494" s="5"/>
      <x:c r="C494" s="10"/>
      <x:c r="D494" s="10"/>
      <x:c r="E494" s="10"/>
      <x:c r="F494" s="10"/>
      <x:c r="G494" s="10"/>
      <x:c r="H494" s="10"/>
      <x:c r="I494" s="11"/>
      <x:c r="J494" s="11"/>
      <x:c r="K494" s="10"/>
      <x:c r="L494" s="10"/>
      <x:c r="M494" s="10"/>
      <x:c r="N494" s="10"/>
      <x:c r="O494" s="1" t="str">
        <x:f>IF(COUNTA(A494:N494)=0,"",IF(OR(A494="",B494="",C494="",NOT(ISNUMBER(D494)),NOT(ISNUMBER(E494))),"Complete required fields",IF(COUNTIFS($A$7:$A$506,A494)&gt;1,"Duplicate ID",IF(COUNTIFS('Accounts'!$A$7:$A$26,C494,'Accounts'!$B$7:$B$26,D494)&lt;&gt;1,"Check account/currency",IF(OR(I494&lt;0,J494&lt;0,AND(I494&gt;0,J494&gt;0),AND(I494=0,J494=0)),"Check amounts",IF(OR(AND(E494="Income",J494&gt;0),AND(E494="Expense",I494&gt;0),AND(E494="Transfer in",J494&gt;0),AND(E494="Transfer out",I494&gt;0)),"Check type/direction",IF(AND(OR(E494="Transfer in",E494="Transfer out"),M494=""),"Add transfer pair ID",IF(AND(OR(E494="Transfer in",E494="Transfer out"),COUNTIFS($M$7:$M$506,M494,$D$7:$D$506,D494)&lt;&gt;2),"Check transfer pair",IF(AND(E494="Expense",K494=""),"Assign budget fund",IF(AND(E494="Expense",L494=""),"Add receipt / proof",""))))))))))</x:f>
      </x:c>
    </x:row>
    <x:row r="495" ht="24" customHeight="1">
      <x:c r="A495" s="10"/>
      <x:c r="B495" s="5"/>
      <x:c r="C495" s="10"/>
      <x:c r="D495" s="10"/>
      <x:c r="E495" s="10"/>
      <x:c r="F495" s="10"/>
      <x:c r="G495" s="10"/>
      <x:c r="H495" s="10"/>
      <x:c r="I495" s="11"/>
      <x:c r="J495" s="11"/>
      <x:c r="K495" s="10"/>
      <x:c r="L495" s="10"/>
      <x:c r="M495" s="10"/>
      <x:c r="N495" s="10"/>
      <x:c r="O495" s="1" t="str">
        <x:f>IF(COUNTA(A495:N495)=0,"",IF(OR(A495="",B495="",C495="",NOT(ISNUMBER(D495)),NOT(ISNUMBER(E495))),"Complete required fields",IF(COUNTIFS($A$7:$A$506,A495)&gt;1,"Duplicate ID",IF(COUNTIFS('Accounts'!$A$7:$A$26,C495,'Accounts'!$B$7:$B$26,D495)&lt;&gt;1,"Check account/currency",IF(OR(I495&lt;0,J495&lt;0,AND(I495&gt;0,J495&gt;0),AND(I495=0,J495=0)),"Check amounts",IF(OR(AND(E495="Income",J495&gt;0),AND(E495="Expense",I495&gt;0),AND(E495="Transfer in",J495&gt;0),AND(E495="Transfer out",I495&gt;0)),"Check type/direction",IF(AND(OR(E495="Transfer in",E495="Transfer out"),M495=""),"Add transfer pair ID",IF(AND(OR(E495="Transfer in",E495="Transfer out"),COUNTIFS($M$7:$M$506,M495,$D$7:$D$506,D495)&lt;&gt;2),"Check transfer pair",IF(AND(E495="Expense",K495=""),"Assign budget fund",IF(AND(E495="Expense",L495=""),"Add receipt / proof",""))))))))))</x:f>
      </x:c>
    </x:row>
    <x:row r="496" ht="24" customHeight="1">
      <x:c r="A496" s="10"/>
      <x:c r="B496" s="5"/>
      <x:c r="C496" s="10"/>
      <x:c r="D496" s="10"/>
      <x:c r="E496" s="10"/>
      <x:c r="F496" s="10"/>
      <x:c r="G496" s="10"/>
      <x:c r="H496" s="10"/>
      <x:c r="I496" s="11"/>
      <x:c r="J496" s="11"/>
      <x:c r="K496" s="10"/>
      <x:c r="L496" s="10"/>
      <x:c r="M496" s="10"/>
      <x:c r="N496" s="10"/>
      <x:c r="O496" s="1" t="str">
        <x:f>IF(COUNTA(A496:N496)=0,"",IF(OR(A496="",B496="",C496="",NOT(ISNUMBER(D496)),NOT(ISNUMBER(E496))),"Complete required fields",IF(COUNTIFS($A$7:$A$506,A496)&gt;1,"Duplicate ID",IF(COUNTIFS('Accounts'!$A$7:$A$26,C496,'Accounts'!$B$7:$B$26,D496)&lt;&gt;1,"Check account/currency",IF(OR(I496&lt;0,J496&lt;0,AND(I496&gt;0,J496&gt;0),AND(I496=0,J496=0)),"Check amounts",IF(OR(AND(E496="Income",J496&gt;0),AND(E496="Expense",I496&gt;0),AND(E496="Transfer in",J496&gt;0),AND(E496="Transfer out",I496&gt;0)),"Check type/direction",IF(AND(OR(E496="Transfer in",E496="Transfer out"),M496=""),"Add transfer pair ID",IF(AND(OR(E496="Transfer in",E496="Transfer out"),COUNTIFS($M$7:$M$506,M496,$D$7:$D$506,D496)&lt;&gt;2),"Check transfer pair",IF(AND(E496="Expense",K496=""),"Assign budget fund",IF(AND(E496="Expense",L496=""),"Add receipt / proof",""))))))))))</x:f>
      </x:c>
    </x:row>
    <x:row r="497" ht="24" customHeight="1">
      <x:c r="A497" s="10"/>
      <x:c r="B497" s="5"/>
      <x:c r="C497" s="10"/>
      <x:c r="D497" s="10"/>
      <x:c r="E497" s="10"/>
      <x:c r="F497" s="10"/>
      <x:c r="G497" s="10"/>
      <x:c r="H497" s="10"/>
      <x:c r="I497" s="11"/>
      <x:c r="J497" s="11"/>
      <x:c r="K497" s="10"/>
      <x:c r="L497" s="10"/>
      <x:c r="M497" s="10"/>
      <x:c r="N497" s="10"/>
      <x:c r="O497" s="1" t="str">
        <x:f>IF(COUNTA(A497:N497)=0,"",IF(OR(A497="",B497="",C497="",NOT(ISNUMBER(D497)),NOT(ISNUMBER(E497))),"Complete required fields",IF(COUNTIFS($A$7:$A$506,A497)&gt;1,"Duplicate ID",IF(COUNTIFS('Accounts'!$A$7:$A$26,C497,'Accounts'!$B$7:$B$26,D497)&lt;&gt;1,"Check account/currency",IF(OR(I497&lt;0,J497&lt;0,AND(I497&gt;0,J497&gt;0),AND(I497=0,J497=0)),"Check amounts",IF(OR(AND(E497="Income",J497&gt;0),AND(E497="Expense",I497&gt;0),AND(E497="Transfer in",J497&gt;0),AND(E497="Transfer out",I497&gt;0)),"Check type/direction",IF(AND(OR(E497="Transfer in",E497="Transfer out"),M497=""),"Add transfer pair ID",IF(AND(OR(E497="Transfer in",E497="Transfer out"),COUNTIFS($M$7:$M$506,M497,$D$7:$D$506,D497)&lt;&gt;2),"Check transfer pair",IF(AND(E497="Expense",K497=""),"Assign budget fund",IF(AND(E497="Expense",L497=""),"Add receipt / proof",""))))))))))</x:f>
      </x:c>
    </x:row>
    <x:row r="498" ht="24" customHeight="1">
      <x:c r="A498" s="10"/>
      <x:c r="B498" s="5"/>
      <x:c r="C498" s="10"/>
      <x:c r="D498" s="10"/>
      <x:c r="E498" s="10"/>
      <x:c r="F498" s="10"/>
      <x:c r="G498" s="10"/>
      <x:c r="H498" s="10"/>
      <x:c r="I498" s="11"/>
      <x:c r="J498" s="11"/>
      <x:c r="K498" s="10"/>
      <x:c r="L498" s="10"/>
      <x:c r="M498" s="10"/>
      <x:c r="N498" s="10"/>
      <x:c r="O498" s="1" t="str">
        <x:f>IF(COUNTA(A498:N498)=0,"",IF(OR(A498="",B498="",C498="",NOT(ISNUMBER(D498)),NOT(ISNUMBER(E498))),"Complete required fields",IF(COUNTIFS($A$7:$A$506,A498)&gt;1,"Duplicate ID",IF(COUNTIFS('Accounts'!$A$7:$A$26,C498,'Accounts'!$B$7:$B$26,D498)&lt;&gt;1,"Check account/currency",IF(OR(I498&lt;0,J498&lt;0,AND(I498&gt;0,J498&gt;0),AND(I498=0,J498=0)),"Check amounts",IF(OR(AND(E498="Income",J498&gt;0),AND(E498="Expense",I498&gt;0),AND(E498="Transfer in",J498&gt;0),AND(E498="Transfer out",I498&gt;0)),"Check type/direction",IF(AND(OR(E498="Transfer in",E498="Transfer out"),M498=""),"Add transfer pair ID",IF(AND(OR(E498="Transfer in",E498="Transfer out"),COUNTIFS($M$7:$M$506,M498,$D$7:$D$506,D498)&lt;&gt;2),"Check transfer pair",IF(AND(E498="Expense",K498=""),"Assign budget fund",IF(AND(E498="Expense",L498=""),"Add receipt / proof",""))))))))))</x:f>
      </x:c>
    </x:row>
    <x:row r="499" ht="24" customHeight="1">
      <x:c r="A499" s="10"/>
      <x:c r="B499" s="5"/>
      <x:c r="C499" s="10"/>
      <x:c r="D499" s="10"/>
      <x:c r="E499" s="10"/>
      <x:c r="F499" s="10"/>
      <x:c r="G499" s="10"/>
      <x:c r="H499" s="10"/>
      <x:c r="I499" s="11"/>
      <x:c r="J499" s="11"/>
      <x:c r="K499" s="10"/>
      <x:c r="L499" s="10"/>
      <x:c r="M499" s="10"/>
      <x:c r="N499" s="10"/>
      <x:c r="O499" s="1" t="str">
        <x:f>IF(COUNTA(A499:N499)=0,"",IF(OR(A499="",B499="",C499="",NOT(ISNUMBER(D499)),NOT(ISNUMBER(E499))),"Complete required fields",IF(COUNTIFS($A$7:$A$506,A499)&gt;1,"Duplicate ID",IF(COUNTIFS('Accounts'!$A$7:$A$26,C499,'Accounts'!$B$7:$B$26,D499)&lt;&gt;1,"Check account/currency",IF(OR(I499&lt;0,J499&lt;0,AND(I499&gt;0,J499&gt;0),AND(I499=0,J499=0)),"Check amounts",IF(OR(AND(E499="Income",J499&gt;0),AND(E499="Expense",I499&gt;0),AND(E499="Transfer in",J499&gt;0),AND(E499="Transfer out",I499&gt;0)),"Check type/direction",IF(AND(OR(E499="Transfer in",E499="Transfer out"),M499=""),"Add transfer pair ID",IF(AND(OR(E499="Transfer in",E499="Transfer out"),COUNTIFS($M$7:$M$506,M499,$D$7:$D$506,D499)&lt;&gt;2),"Check transfer pair",IF(AND(E499="Expense",K499=""),"Assign budget fund",IF(AND(E499="Expense",L499=""),"Add receipt / proof",""))))))))))</x:f>
      </x:c>
    </x:row>
    <x:row r="500" ht="24" customHeight="1">
      <x:c r="A500" s="10"/>
      <x:c r="B500" s="5"/>
      <x:c r="C500" s="10"/>
      <x:c r="D500" s="10"/>
      <x:c r="E500" s="10"/>
      <x:c r="F500" s="10"/>
      <x:c r="G500" s="10"/>
      <x:c r="H500" s="10"/>
      <x:c r="I500" s="11"/>
      <x:c r="J500" s="11"/>
      <x:c r="K500" s="10"/>
      <x:c r="L500" s="10"/>
      <x:c r="M500" s="10"/>
      <x:c r="N500" s="10"/>
      <x:c r="O500" s="1" t="str">
        <x:f>IF(COUNTA(A500:N500)=0,"",IF(OR(A500="",B500="",C500="",NOT(ISNUMBER(D500)),NOT(ISNUMBER(E500))),"Complete required fields",IF(COUNTIFS($A$7:$A$506,A500)&gt;1,"Duplicate ID",IF(COUNTIFS('Accounts'!$A$7:$A$26,C500,'Accounts'!$B$7:$B$26,D500)&lt;&gt;1,"Check account/currency",IF(OR(I500&lt;0,J500&lt;0,AND(I500&gt;0,J500&gt;0),AND(I500=0,J500=0)),"Check amounts",IF(OR(AND(E500="Income",J500&gt;0),AND(E500="Expense",I500&gt;0),AND(E500="Transfer in",J500&gt;0),AND(E500="Transfer out",I500&gt;0)),"Check type/direction",IF(AND(OR(E500="Transfer in",E500="Transfer out"),M500=""),"Add transfer pair ID",IF(AND(OR(E500="Transfer in",E500="Transfer out"),COUNTIFS($M$7:$M$506,M500,$D$7:$D$506,D500)&lt;&gt;2),"Check transfer pair",IF(AND(E500="Expense",K500=""),"Assign budget fund",IF(AND(E500="Expense",L500=""),"Add receipt / proof",""))))))))))</x:f>
      </x:c>
    </x:row>
    <x:row r="501" ht="24" customHeight="1">
      <x:c r="A501" s="10"/>
      <x:c r="B501" s="5"/>
      <x:c r="C501" s="10"/>
      <x:c r="D501" s="10"/>
      <x:c r="E501" s="10"/>
      <x:c r="F501" s="10"/>
      <x:c r="G501" s="10"/>
      <x:c r="H501" s="10"/>
      <x:c r="I501" s="11"/>
      <x:c r="J501" s="11"/>
      <x:c r="K501" s="10"/>
      <x:c r="L501" s="10"/>
      <x:c r="M501" s="10"/>
      <x:c r="N501" s="10"/>
      <x:c r="O501" s="1" t="str">
        <x:f>IF(COUNTA(A501:N501)=0,"",IF(OR(A501="",B501="",C501="",NOT(ISNUMBER(D501)),NOT(ISNUMBER(E501))),"Complete required fields",IF(COUNTIFS($A$7:$A$506,A501)&gt;1,"Duplicate ID",IF(COUNTIFS('Accounts'!$A$7:$A$26,C501,'Accounts'!$B$7:$B$26,D501)&lt;&gt;1,"Check account/currency",IF(OR(I501&lt;0,J501&lt;0,AND(I501&gt;0,J501&gt;0),AND(I501=0,J501=0)),"Check amounts",IF(OR(AND(E501="Income",J501&gt;0),AND(E501="Expense",I501&gt;0),AND(E501="Transfer in",J501&gt;0),AND(E501="Transfer out",I501&gt;0)),"Check type/direction",IF(AND(OR(E501="Transfer in",E501="Transfer out"),M501=""),"Add transfer pair ID",IF(AND(OR(E501="Transfer in",E501="Transfer out"),COUNTIFS($M$7:$M$506,M501,$D$7:$D$506,D501)&lt;&gt;2),"Check transfer pair",IF(AND(E501="Expense",K501=""),"Assign budget fund",IF(AND(E501="Expense",L501=""),"Add receipt / proof",""))))))))))</x:f>
      </x:c>
    </x:row>
    <x:row r="502" ht="24" customHeight="1">
      <x:c r="A502" s="10"/>
      <x:c r="B502" s="5"/>
      <x:c r="C502" s="10"/>
      <x:c r="D502" s="10"/>
      <x:c r="E502" s="10"/>
      <x:c r="F502" s="10"/>
      <x:c r="G502" s="10"/>
      <x:c r="H502" s="10"/>
      <x:c r="I502" s="11"/>
      <x:c r="J502" s="11"/>
      <x:c r="K502" s="10"/>
      <x:c r="L502" s="10"/>
      <x:c r="M502" s="10"/>
      <x:c r="N502" s="10"/>
      <x:c r="O502" s="1" t="str">
        <x:f>IF(COUNTA(A502:N502)=0,"",IF(OR(A502="",B502="",C502="",NOT(ISNUMBER(D502)),NOT(ISNUMBER(E502))),"Complete required fields",IF(COUNTIFS($A$7:$A$506,A502)&gt;1,"Duplicate ID",IF(COUNTIFS('Accounts'!$A$7:$A$26,C502,'Accounts'!$B$7:$B$26,D502)&lt;&gt;1,"Check account/currency",IF(OR(I502&lt;0,J502&lt;0,AND(I502&gt;0,J502&gt;0),AND(I502=0,J502=0)),"Check amounts",IF(OR(AND(E502="Income",J502&gt;0),AND(E502="Expense",I502&gt;0),AND(E502="Transfer in",J502&gt;0),AND(E502="Transfer out",I502&gt;0)),"Check type/direction",IF(AND(OR(E502="Transfer in",E502="Transfer out"),M502=""),"Add transfer pair ID",IF(AND(OR(E502="Transfer in",E502="Transfer out"),COUNTIFS($M$7:$M$506,M502,$D$7:$D$506,D502)&lt;&gt;2),"Check transfer pair",IF(AND(E502="Expense",K502=""),"Assign budget fund",IF(AND(E502="Expense",L502=""),"Add receipt / proof",""))))))))))</x:f>
      </x:c>
    </x:row>
    <x:row r="503" ht="24" customHeight="1">
      <x:c r="A503" s="10"/>
      <x:c r="B503" s="5"/>
      <x:c r="C503" s="10"/>
      <x:c r="D503" s="10"/>
      <x:c r="E503" s="10"/>
      <x:c r="F503" s="10"/>
      <x:c r="G503" s="10"/>
      <x:c r="H503" s="10"/>
      <x:c r="I503" s="11"/>
      <x:c r="J503" s="11"/>
      <x:c r="K503" s="10"/>
      <x:c r="L503" s="10"/>
      <x:c r="M503" s="10"/>
      <x:c r="N503" s="10"/>
      <x:c r="O503" s="1" t="str">
        <x:f>IF(COUNTA(A503:N503)=0,"",IF(OR(A503="",B503="",C503="",NOT(ISNUMBER(D503)),NOT(ISNUMBER(E503))),"Complete required fields",IF(COUNTIFS($A$7:$A$506,A503)&gt;1,"Duplicate ID",IF(COUNTIFS('Accounts'!$A$7:$A$26,C503,'Accounts'!$B$7:$B$26,D503)&lt;&gt;1,"Check account/currency",IF(OR(I503&lt;0,J503&lt;0,AND(I503&gt;0,J503&gt;0),AND(I503=0,J503=0)),"Check amounts",IF(OR(AND(E503="Income",J503&gt;0),AND(E503="Expense",I503&gt;0),AND(E503="Transfer in",J503&gt;0),AND(E503="Transfer out",I503&gt;0)),"Check type/direction",IF(AND(OR(E503="Transfer in",E503="Transfer out"),M503=""),"Add transfer pair ID",IF(AND(OR(E503="Transfer in",E503="Transfer out"),COUNTIFS($M$7:$M$506,M503,$D$7:$D$506,D503)&lt;&gt;2),"Check transfer pair",IF(AND(E503="Expense",K503=""),"Assign budget fund",IF(AND(E503="Expense",L503=""),"Add receipt / proof",""))))))))))</x:f>
      </x:c>
    </x:row>
    <x:row r="504" ht="24" customHeight="1">
      <x:c r="A504" s="10"/>
      <x:c r="B504" s="5"/>
      <x:c r="C504" s="10"/>
      <x:c r="D504" s="10"/>
      <x:c r="E504" s="10"/>
      <x:c r="F504" s="10"/>
      <x:c r="G504" s="10"/>
      <x:c r="H504" s="10"/>
      <x:c r="I504" s="11"/>
      <x:c r="J504" s="11"/>
      <x:c r="K504" s="10"/>
      <x:c r="L504" s="10"/>
      <x:c r="M504" s="10"/>
      <x:c r="N504" s="10"/>
      <x:c r="O504" s="1" t="str">
        <x:f>IF(COUNTA(A504:N504)=0,"",IF(OR(A504="",B504="",C504="",NOT(ISNUMBER(D504)),NOT(ISNUMBER(E504))),"Complete required fields",IF(COUNTIFS($A$7:$A$506,A504)&gt;1,"Duplicate ID",IF(COUNTIFS('Accounts'!$A$7:$A$26,C504,'Accounts'!$B$7:$B$26,D504)&lt;&gt;1,"Check account/currency",IF(OR(I504&lt;0,J504&lt;0,AND(I504&gt;0,J504&gt;0),AND(I504=0,J504=0)),"Check amounts",IF(OR(AND(E504="Income",J504&gt;0),AND(E504="Expense",I504&gt;0),AND(E504="Transfer in",J504&gt;0),AND(E504="Transfer out",I504&gt;0)),"Check type/direction",IF(AND(OR(E504="Transfer in",E504="Transfer out"),M504=""),"Add transfer pair ID",IF(AND(OR(E504="Transfer in",E504="Transfer out"),COUNTIFS($M$7:$M$506,M504,$D$7:$D$506,D504)&lt;&gt;2),"Check transfer pair",IF(AND(E504="Expense",K504=""),"Assign budget fund",IF(AND(E504="Expense",L504=""),"Add receipt / proof",""))))))))))</x:f>
      </x:c>
    </x:row>
    <x:row r="505" ht="24" customHeight="1">
      <x:c r="A505" s="10"/>
      <x:c r="B505" s="5"/>
      <x:c r="C505" s="10"/>
      <x:c r="D505" s="10"/>
      <x:c r="E505" s="10"/>
      <x:c r="F505" s="10"/>
      <x:c r="G505" s="10"/>
      <x:c r="H505" s="10"/>
      <x:c r="I505" s="11"/>
      <x:c r="J505" s="11"/>
      <x:c r="K505" s="10"/>
      <x:c r="L505" s="10"/>
      <x:c r="M505" s="10"/>
      <x:c r="N505" s="10"/>
      <x:c r="O505" s="1" t="str">
        <x:f>IF(COUNTA(A505:N505)=0,"",IF(OR(A505="",B505="",C505="",NOT(ISNUMBER(D505)),NOT(ISNUMBER(E505))),"Complete required fields",IF(COUNTIFS($A$7:$A$506,A505)&gt;1,"Duplicate ID",IF(COUNTIFS('Accounts'!$A$7:$A$26,C505,'Accounts'!$B$7:$B$26,D505)&lt;&gt;1,"Check account/currency",IF(OR(I505&lt;0,J505&lt;0,AND(I505&gt;0,J505&gt;0),AND(I505=0,J505=0)),"Check amounts",IF(OR(AND(E505="Income",J505&gt;0),AND(E505="Expense",I505&gt;0),AND(E505="Transfer in",J505&gt;0),AND(E505="Transfer out",I505&gt;0)),"Check type/direction",IF(AND(OR(E505="Transfer in",E505="Transfer out"),M505=""),"Add transfer pair ID",IF(AND(OR(E505="Transfer in",E505="Transfer out"),COUNTIFS($M$7:$M$506,M505,$D$7:$D$506,D505)&lt;&gt;2),"Check transfer pair",IF(AND(E505="Expense",K505=""),"Assign budget fund",IF(AND(E505="Expense",L505=""),"Add receipt / proof",""))))))))))</x:f>
      </x:c>
    </x:row>
    <x:row r="506" ht="24" customHeight="1">
      <x:c r="A506" s="10"/>
      <x:c r="B506" s="5"/>
      <x:c r="C506" s="10"/>
      <x:c r="D506" s="10"/>
      <x:c r="E506" s="10"/>
      <x:c r="F506" s="10"/>
      <x:c r="G506" s="10"/>
      <x:c r="H506" s="10"/>
      <x:c r="I506" s="11"/>
      <x:c r="J506" s="11"/>
      <x:c r="K506" s="10"/>
      <x:c r="L506" s="10"/>
      <x:c r="M506" s="10"/>
      <x:c r="N506" s="10"/>
      <x:c r="O506" s="1" t="str">
        <x:f>IF(COUNTA(A506:N506)=0,"",IF(OR(A506="",B506="",C506="",NOT(ISNUMBER(D506)),NOT(ISNUMBER(E506))),"Complete required fields",IF(COUNTIFS($A$7:$A$506,A506)&gt;1,"Duplicate ID",IF(COUNTIFS('Accounts'!$A$7:$A$26,C506,'Accounts'!$B$7:$B$26,D506)&lt;&gt;1,"Check account/currency",IF(OR(I506&lt;0,J506&lt;0,AND(I506&gt;0,J506&gt;0),AND(I506=0,J506=0)),"Check amounts",IF(OR(AND(E506="Income",J506&gt;0),AND(E506="Expense",I506&gt;0),AND(E506="Transfer in",J506&gt;0),AND(E506="Transfer out",I506&gt;0)),"Check type/direction",IF(AND(OR(E506="Transfer in",E506="Transfer out"),M506=""),"Add transfer pair ID",IF(AND(OR(E506="Transfer in",E506="Transfer out"),COUNTIFS($M$7:$M$506,M506,$D$7:$D$506,D506)&lt;&gt;2),"Check transfer pair",IF(AND(E506="Expense",K506=""),"Assign budget fund",IF(AND(E506="Expense",L506=""),"Add receipt / proof",""))))))))))</x:f>
      </x:c>
    </x:row>
  </x:sheetData>
  <x:conditionalFormatting sqref="O7:O506">
    <x:cfRule type="notContainsBlanks" dxfId="0" priority="1"/>
  </x:conditionalFormatting>
  <x:dataValidations count="3">
    <x:dataValidation type="list" sqref="E7:E506">
      <x:formula1>"Income,Expense,Transfer in,Transfer out"</x:formula1>
    </x:dataValidation>
    <x:dataValidation type="list" sqref="K7:K506">
      <x:formula1>"Treasury,Infrastructure,Unallocated"</x:formula1>
    </x:dataValidation>
    <x:dataValidation type="list" sqref="F7:F506">
      <x:formula1>"Donation,Asset sale,AI tools,Hosting,Game assets,Payment fees,Reward,Transfer,Other"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53669bf4f64b3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13" hidden="0" customWidth="1"/>
    <x:col min="4" max="4" width="22" hidden="0" customWidth="1"/>
    <x:col min="5" max="5" width="19" hidden="0" customWidth="1"/>
    <x:col min="6" max="6" width="20" hidden="0" customWidth="1"/>
    <x:col min="7" max="7" width="20" hidden="0" customWidth="1"/>
    <x:col min="8" max="8" width="27" hidden="0" customWidth="1"/>
    <x:col min="9" max="9" width="4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</x:row>
    <x:row r="2" ht="24" customHeight="1">
      <x:c r="A2" s="2" t="str">
        <x:v>Donation budget allocations</x:v>
      </x:c>
      <x:c r="B2" s="1"/>
      <x:c r="C2" s="1"/>
      <x:c r="D2" s="1"/>
      <x:c r="E2" s="1"/>
      <x:c r="F2" s="1"/>
      <x:c r="G2" s="1"/>
      <x:c r="H2" s="1"/>
      <x:c r="I2" s="1"/>
    </x:row>
    <x:row r="3" ht="24" customHeight="1">
      <x:c r="A3" s="1"/>
      <x:c r="B3" s="1"/>
      <x:c r="C3" s="1"/>
      <x:c r="D3" s="1"/>
      <x:c r="E3" s="1"/>
      <x:c r="F3" s="1"/>
      <x:c r="G3" s="1"/>
      <x:c r="H3" s="1"/>
      <x:c r="I3" s="1"/>
    </x:row>
    <x:row r="4" ht="24" customHeight="1">
      <x:c r="A4" s="1" t="str">
        <x:v>Allocations reserve a budget; they never change cash. Enter a signed base and agreed rate.</x:v>
      </x:c>
      <x:c r="B4" s="1"/>
      <x:c r="C4" s="1"/>
      <x:c r="D4" s="1"/>
      <x:c r="E4" s="1"/>
      <x:c r="F4" s="1"/>
      <x:c r="G4" s="1"/>
      <x:c r="H4" s="1"/>
      <x:c r="I4" s="1"/>
    </x:row>
    <x:row r="5" ht="24" customHeight="1">
      <x:c r="A5" s="1"/>
      <x:c r="B5" s="1"/>
      <x:c r="C5" s="1"/>
      <x:c r="D5" s="1"/>
      <x:c r="E5" s="1"/>
      <x:c r="F5" s="1"/>
      <x:c r="G5" s="1"/>
      <x:c r="H5" s="1"/>
      <x:c r="I5" s="1"/>
    </x:row>
    <x:row r="6" ht="36" customHeight="1">
      <x:c r="A6" s="8" t="str">
        <x:v>Allocation ID</x:v>
      </x:c>
      <x:c r="B6" s="8" t="str">
        <x:v>Date</x:v>
      </x:c>
      <x:c r="C6" s="8" t="str">
        <x:v>Currency</x:v>
      </x:c>
      <x:c r="D6" s="8" t="str">
        <x:v>Approved base</x:v>
      </x:c>
      <x:c r="E6" s="8" t="str">
        <x:v>Treasury rate</x:v>
      </x:c>
      <x:c r="F6" s="8" t="str">
        <x:v>Treasury share</x:v>
      </x:c>
      <x:c r="G6" s="8" t="str">
        <x:v>Infrastructure share</x:v>
      </x:c>
      <x:c r="H6" s="8" t="str">
        <x:v>Source record ID</x:v>
      </x:c>
      <x:c r="I6" s="8" t="str">
        <x:v>Basis / approval notes</x:v>
      </x:c>
    </x:row>
    <x:row r="7" ht="24" customHeight="1">
      <x:c r="A7" s="10"/>
      <x:c r="B7" s="5"/>
      <x:c r="C7" s="10"/>
      <x:c r="D7" s="11"/>
      <x:c r="E7" s="13"/>
      <x:c r="F7" s="12" t="str">
        <x:f>IF(OR(A7="",B7="",C7="",NOT(ISNUMBER(D7)),NOT(ISNUMBER(E7))),"",ROUND(D7*E7,2))</x:f>
      </x:c>
      <x:c r="G7" s="12" t="str">
        <x:f>IF(NOT(ISNUMBER(F7)),"",D7-F7)</x:f>
      </x:c>
      <x:c r="H7" s="10"/>
      <x:c r="I7" s="10"/>
    </x:row>
    <x:row r="8" ht="24" customHeight="1">
      <x:c r="A8" s="10"/>
      <x:c r="B8" s="5"/>
      <x:c r="C8" s="10"/>
      <x:c r="D8" s="11"/>
      <x:c r="E8" s="13"/>
      <x:c r="F8" s="12" t="str">
        <x:f>IF(OR(A8="",B8="",C8="",NOT(ISNUMBER(D8)),NOT(ISNUMBER(E8))),"",ROUND(D8*E8,2))</x:f>
      </x:c>
      <x:c r="G8" s="12" t="str">
        <x:f>IF(NOT(ISNUMBER(F8)),"",D8-F8)</x:f>
      </x:c>
      <x:c r="H8" s="10"/>
      <x:c r="I8" s="10"/>
    </x:row>
    <x:row r="9" ht="24" customHeight="1">
      <x:c r="A9" s="10"/>
      <x:c r="B9" s="5"/>
      <x:c r="C9" s="10"/>
      <x:c r="D9" s="11"/>
      <x:c r="E9" s="13"/>
      <x:c r="F9" s="12" t="str">
        <x:f>IF(OR(A9="",B9="",C9="",NOT(ISNUMBER(D9)),NOT(ISNUMBER(E9))),"",ROUND(D9*E9,2))</x:f>
      </x:c>
      <x:c r="G9" s="12" t="str">
        <x:f>IF(NOT(ISNUMBER(F9)),"",D9-F9)</x:f>
      </x:c>
      <x:c r="H9" s="10"/>
      <x:c r="I9" s="10"/>
    </x:row>
    <x:row r="10" ht="24" customHeight="1">
      <x:c r="A10" s="10"/>
      <x:c r="B10" s="5"/>
      <x:c r="C10" s="10"/>
      <x:c r="D10" s="11"/>
      <x:c r="E10" s="13"/>
      <x:c r="F10" s="12" t="str">
        <x:f>IF(OR(A10="",B10="",C10="",NOT(ISNUMBER(D10)),NOT(ISNUMBER(E10))),"",ROUND(D10*E10,2))</x:f>
      </x:c>
      <x:c r="G10" s="12" t="str">
        <x:f>IF(NOT(ISNUMBER(F10)),"",D10-F10)</x:f>
      </x:c>
      <x:c r="H10" s="10"/>
      <x:c r="I10" s="10"/>
    </x:row>
    <x:row r="11" ht="24" customHeight="1">
      <x:c r="A11" s="10"/>
      <x:c r="B11" s="5"/>
      <x:c r="C11" s="10"/>
      <x:c r="D11" s="11"/>
      <x:c r="E11" s="13"/>
      <x:c r="F11" s="12" t="str">
        <x:f>IF(OR(A11="",B11="",C11="",NOT(ISNUMBER(D11)),NOT(ISNUMBER(E11))),"",ROUND(D11*E11,2))</x:f>
      </x:c>
      <x:c r="G11" s="12" t="str">
        <x:f>IF(NOT(ISNUMBER(F11)),"",D11-F11)</x:f>
      </x:c>
      <x:c r="H11" s="10"/>
      <x:c r="I11" s="10"/>
    </x:row>
    <x:row r="12" ht="24" customHeight="1">
      <x:c r="A12" s="10"/>
      <x:c r="B12" s="5"/>
      <x:c r="C12" s="10"/>
      <x:c r="D12" s="11"/>
      <x:c r="E12" s="13"/>
      <x:c r="F12" s="12" t="str">
        <x:f>IF(OR(A12="",B12="",C12="",NOT(ISNUMBER(D12)),NOT(ISNUMBER(E12))),"",ROUND(D12*E12,2))</x:f>
      </x:c>
      <x:c r="G12" s="12" t="str">
        <x:f>IF(NOT(ISNUMBER(F12)),"",D12-F12)</x:f>
      </x:c>
      <x:c r="H12" s="10"/>
      <x:c r="I12" s="10"/>
    </x:row>
    <x:row r="13" ht="24" customHeight="1">
      <x:c r="A13" s="10"/>
      <x:c r="B13" s="5"/>
      <x:c r="C13" s="10"/>
      <x:c r="D13" s="11"/>
      <x:c r="E13" s="13"/>
      <x:c r="F13" s="12" t="str">
        <x:f>IF(OR(A13="",B13="",C13="",NOT(ISNUMBER(D13)),NOT(ISNUMBER(E13))),"",ROUND(D13*E13,2))</x:f>
      </x:c>
      <x:c r="G13" s="12" t="str">
        <x:f>IF(NOT(ISNUMBER(F13)),"",D13-F13)</x:f>
      </x:c>
      <x:c r="H13" s="10"/>
      <x:c r="I13" s="10"/>
    </x:row>
    <x:row r="14" ht="24" customHeight="1">
      <x:c r="A14" s="10"/>
      <x:c r="B14" s="5"/>
      <x:c r="C14" s="10"/>
      <x:c r="D14" s="11"/>
      <x:c r="E14" s="13"/>
      <x:c r="F14" s="12" t="str">
        <x:f>IF(OR(A14="",B14="",C14="",NOT(ISNUMBER(D14)),NOT(ISNUMBER(E14))),"",ROUND(D14*E14,2))</x:f>
      </x:c>
      <x:c r="G14" s="12" t="str">
        <x:f>IF(NOT(ISNUMBER(F14)),"",D14-F14)</x:f>
      </x:c>
      <x:c r="H14" s="10"/>
      <x:c r="I14" s="10"/>
    </x:row>
    <x:row r="15" ht="24" customHeight="1">
      <x:c r="A15" s="10"/>
      <x:c r="B15" s="5"/>
      <x:c r="C15" s="10"/>
      <x:c r="D15" s="11"/>
      <x:c r="E15" s="13"/>
      <x:c r="F15" s="12" t="str">
        <x:f>IF(OR(A15="",B15="",C15="",NOT(ISNUMBER(D15)),NOT(ISNUMBER(E15))),"",ROUND(D15*E15,2))</x:f>
      </x:c>
      <x:c r="G15" s="12" t="str">
        <x:f>IF(NOT(ISNUMBER(F15)),"",D15-F15)</x:f>
      </x:c>
      <x:c r="H15" s="10"/>
      <x:c r="I15" s="10"/>
    </x:row>
    <x:row r="16" ht="24" customHeight="1">
      <x:c r="A16" s="10"/>
      <x:c r="B16" s="5"/>
      <x:c r="C16" s="10"/>
      <x:c r="D16" s="11"/>
      <x:c r="E16" s="13"/>
      <x:c r="F16" s="12" t="str">
        <x:f>IF(OR(A16="",B16="",C16="",NOT(ISNUMBER(D16)),NOT(ISNUMBER(E16))),"",ROUND(D16*E16,2))</x:f>
      </x:c>
      <x:c r="G16" s="12" t="str">
        <x:f>IF(NOT(ISNUMBER(F16)),"",D16-F16)</x:f>
      </x:c>
      <x:c r="H16" s="10"/>
      <x:c r="I16" s="10"/>
    </x:row>
    <x:row r="17" ht="24" customHeight="1">
      <x:c r="A17" s="10"/>
      <x:c r="B17" s="5"/>
      <x:c r="C17" s="10"/>
      <x:c r="D17" s="11"/>
      <x:c r="E17" s="13"/>
      <x:c r="F17" s="12" t="str">
        <x:f>IF(OR(A17="",B17="",C17="",NOT(ISNUMBER(D17)),NOT(ISNUMBER(E17))),"",ROUND(D17*E17,2))</x:f>
      </x:c>
      <x:c r="G17" s="12" t="str">
        <x:f>IF(NOT(ISNUMBER(F17)),"",D17-F17)</x:f>
      </x:c>
      <x:c r="H17" s="10"/>
      <x:c r="I17" s="10"/>
    </x:row>
    <x:row r="18" ht="24" customHeight="1">
      <x:c r="A18" s="10"/>
      <x:c r="B18" s="5"/>
      <x:c r="C18" s="10"/>
      <x:c r="D18" s="11"/>
      <x:c r="E18" s="13"/>
      <x:c r="F18" s="12" t="str">
        <x:f>IF(OR(A18="",B18="",C18="",NOT(ISNUMBER(D18)),NOT(ISNUMBER(E18))),"",ROUND(D18*E18,2))</x:f>
      </x:c>
      <x:c r="G18" s="12" t="str">
        <x:f>IF(NOT(ISNUMBER(F18)),"",D18-F18)</x:f>
      </x:c>
      <x:c r="H18" s="10"/>
      <x:c r="I18" s="10"/>
    </x:row>
    <x:row r="19" ht="24" customHeight="1">
      <x:c r="A19" s="10"/>
      <x:c r="B19" s="5"/>
      <x:c r="C19" s="10"/>
      <x:c r="D19" s="11"/>
      <x:c r="E19" s="13"/>
      <x:c r="F19" s="12" t="str">
        <x:f>IF(OR(A19="",B19="",C19="",NOT(ISNUMBER(D19)),NOT(ISNUMBER(E19))),"",ROUND(D19*E19,2))</x:f>
      </x:c>
      <x:c r="G19" s="12" t="str">
        <x:f>IF(NOT(ISNUMBER(F19)),"",D19-F19)</x:f>
      </x:c>
      <x:c r="H19" s="10"/>
      <x:c r="I19" s="10"/>
    </x:row>
    <x:row r="20" ht="24" customHeight="1">
      <x:c r="A20" s="10"/>
      <x:c r="B20" s="5"/>
      <x:c r="C20" s="10"/>
      <x:c r="D20" s="11"/>
      <x:c r="E20" s="13"/>
      <x:c r="F20" s="12" t="str">
        <x:f>IF(OR(A20="",B20="",C20="",NOT(ISNUMBER(D20)),NOT(ISNUMBER(E20))),"",ROUND(D20*E20,2))</x:f>
      </x:c>
      <x:c r="G20" s="12" t="str">
        <x:f>IF(NOT(ISNUMBER(F20)),"",D20-F20)</x:f>
      </x:c>
      <x:c r="H20" s="10"/>
      <x:c r="I20" s="10"/>
    </x:row>
    <x:row r="21" ht="24" customHeight="1">
      <x:c r="A21" s="10"/>
      <x:c r="B21" s="5"/>
      <x:c r="C21" s="10"/>
      <x:c r="D21" s="11"/>
      <x:c r="E21" s="13"/>
      <x:c r="F21" s="12" t="str">
        <x:f>IF(OR(A21="",B21="",C21="",NOT(ISNUMBER(D21)),NOT(ISNUMBER(E21))),"",ROUND(D21*E21,2))</x:f>
      </x:c>
      <x:c r="G21" s="12" t="str">
        <x:f>IF(NOT(ISNUMBER(F21)),"",D21-F21)</x:f>
      </x:c>
      <x:c r="H21" s="10"/>
      <x:c r="I21" s="10"/>
    </x:row>
    <x:row r="22" ht="24" customHeight="1">
      <x:c r="A22" s="10"/>
      <x:c r="B22" s="5"/>
      <x:c r="C22" s="10"/>
      <x:c r="D22" s="11"/>
      <x:c r="E22" s="13"/>
      <x:c r="F22" s="12" t="str">
        <x:f>IF(OR(A22="",B22="",C22="",NOT(ISNUMBER(D22)),NOT(ISNUMBER(E22))),"",ROUND(D22*E22,2))</x:f>
      </x:c>
      <x:c r="G22" s="12" t="str">
        <x:f>IF(NOT(ISNUMBER(F22)),"",D22-F22)</x:f>
      </x:c>
      <x:c r="H22" s="10"/>
      <x:c r="I22" s="10"/>
    </x:row>
    <x:row r="23" ht="24" customHeight="1">
      <x:c r="A23" s="10"/>
      <x:c r="B23" s="5"/>
      <x:c r="C23" s="10"/>
      <x:c r="D23" s="11"/>
      <x:c r="E23" s="13"/>
      <x:c r="F23" s="12" t="str">
        <x:f>IF(OR(A23="",B23="",C23="",NOT(ISNUMBER(D23)),NOT(ISNUMBER(E23))),"",ROUND(D23*E23,2))</x:f>
      </x:c>
      <x:c r="G23" s="12" t="str">
        <x:f>IF(NOT(ISNUMBER(F23)),"",D23-F23)</x:f>
      </x:c>
      <x:c r="H23" s="10"/>
      <x:c r="I23" s="10"/>
    </x:row>
    <x:row r="24" ht="24" customHeight="1">
      <x:c r="A24" s="10"/>
      <x:c r="B24" s="5"/>
      <x:c r="C24" s="10"/>
      <x:c r="D24" s="11"/>
      <x:c r="E24" s="13"/>
      <x:c r="F24" s="12" t="str">
        <x:f>IF(OR(A24="",B24="",C24="",NOT(ISNUMBER(D24)),NOT(ISNUMBER(E24))),"",ROUND(D24*E24,2))</x:f>
      </x:c>
      <x:c r="G24" s="12" t="str">
        <x:f>IF(NOT(ISNUMBER(F24)),"",D24-F24)</x:f>
      </x:c>
      <x:c r="H24" s="10"/>
      <x:c r="I24" s="10"/>
    </x:row>
    <x:row r="25" ht="24" customHeight="1">
      <x:c r="A25" s="10"/>
      <x:c r="B25" s="5"/>
      <x:c r="C25" s="10"/>
      <x:c r="D25" s="11"/>
      <x:c r="E25" s="13"/>
      <x:c r="F25" s="12" t="str">
        <x:f>IF(OR(A25="",B25="",C25="",NOT(ISNUMBER(D25)),NOT(ISNUMBER(E25))),"",ROUND(D25*E25,2))</x:f>
      </x:c>
      <x:c r="G25" s="12" t="str">
        <x:f>IF(NOT(ISNUMBER(F25)),"",D25-F25)</x:f>
      </x:c>
      <x:c r="H25" s="10"/>
      <x:c r="I25" s="10"/>
    </x:row>
    <x:row r="26" ht="24" customHeight="1">
      <x:c r="A26" s="10"/>
      <x:c r="B26" s="5"/>
      <x:c r="C26" s="10"/>
      <x:c r="D26" s="11"/>
      <x:c r="E26" s="13"/>
      <x:c r="F26" s="12" t="str">
        <x:f>IF(OR(A26="",B26="",C26="",NOT(ISNUMBER(D26)),NOT(ISNUMBER(E26))),"",ROUND(D26*E26,2))</x:f>
      </x:c>
      <x:c r="G26" s="12" t="str">
        <x:f>IF(NOT(ISNUMBER(F26)),"",D26-F26)</x:f>
      </x:c>
      <x:c r="H26" s="10"/>
      <x:c r="I26" s="10"/>
    </x:row>
    <x:row r="27" ht="24" customHeight="1">
      <x:c r="A27" s="10"/>
      <x:c r="B27" s="5"/>
      <x:c r="C27" s="10"/>
      <x:c r="D27" s="11"/>
      <x:c r="E27" s="13"/>
      <x:c r="F27" s="12" t="str">
        <x:f>IF(OR(A27="",B27="",C27="",NOT(ISNUMBER(D27)),NOT(ISNUMBER(E27))),"",ROUND(D27*E27,2))</x:f>
      </x:c>
      <x:c r="G27" s="12" t="str">
        <x:f>IF(NOT(ISNUMBER(F27)),"",D27-F27)</x:f>
      </x:c>
      <x:c r="H27" s="10"/>
      <x:c r="I27" s="10"/>
    </x:row>
    <x:row r="28" ht="24" customHeight="1">
      <x:c r="A28" s="10"/>
      <x:c r="B28" s="5"/>
      <x:c r="C28" s="10"/>
      <x:c r="D28" s="11"/>
      <x:c r="E28" s="13"/>
      <x:c r="F28" s="12" t="str">
        <x:f>IF(OR(A28="",B28="",C28="",NOT(ISNUMBER(D28)),NOT(ISNUMBER(E28))),"",ROUND(D28*E28,2))</x:f>
      </x:c>
      <x:c r="G28" s="12" t="str">
        <x:f>IF(NOT(ISNUMBER(F28)),"",D28-F28)</x:f>
      </x:c>
      <x:c r="H28" s="10"/>
      <x:c r="I28" s="10"/>
    </x:row>
    <x:row r="29" ht="24" customHeight="1">
      <x:c r="A29" s="10"/>
      <x:c r="B29" s="5"/>
      <x:c r="C29" s="10"/>
      <x:c r="D29" s="11"/>
      <x:c r="E29" s="13"/>
      <x:c r="F29" s="12" t="str">
        <x:f>IF(OR(A29="",B29="",C29="",NOT(ISNUMBER(D29)),NOT(ISNUMBER(E29))),"",ROUND(D29*E29,2))</x:f>
      </x:c>
      <x:c r="G29" s="12" t="str">
        <x:f>IF(NOT(ISNUMBER(F29)),"",D29-F29)</x:f>
      </x:c>
      <x:c r="H29" s="10"/>
      <x:c r="I29" s="10"/>
    </x:row>
    <x:row r="30" ht="24" customHeight="1">
      <x:c r="A30" s="10"/>
      <x:c r="B30" s="5"/>
      <x:c r="C30" s="10"/>
      <x:c r="D30" s="11"/>
      <x:c r="E30" s="13"/>
      <x:c r="F30" s="12" t="str">
        <x:f>IF(OR(A30="",B30="",C30="",NOT(ISNUMBER(D30)),NOT(ISNUMBER(E30))),"",ROUND(D30*E30,2))</x:f>
      </x:c>
      <x:c r="G30" s="12" t="str">
        <x:f>IF(NOT(ISNUMBER(F30)),"",D30-F30)</x:f>
      </x:c>
      <x:c r="H30" s="10"/>
      <x:c r="I30" s="10"/>
    </x:row>
    <x:row r="31" ht="24" customHeight="1">
      <x:c r="A31" s="10"/>
      <x:c r="B31" s="5"/>
      <x:c r="C31" s="10"/>
      <x:c r="D31" s="11"/>
      <x:c r="E31" s="13"/>
      <x:c r="F31" s="12" t="str">
        <x:f>IF(OR(A31="",B31="",C31="",NOT(ISNUMBER(D31)),NOT(ISNUMBER(E31))),"",ROUND(D31*E31,2))</x:f>
      </x:c>
      <x:c r="G31" s="12" t="str">
        <x:f>IF(NOT(ISNUMBER(F31)),"",D31-F31)</x:f>
      </x:c>
      <x:c r="H31" s="10"/>
      <x:c r="I31" s="10"/>
    </x:row>
    <x:row r="32" ht="24" customHeight="1">
      <x:c r="A32" s="10"/>
      <x:c r="B32" s="5"/>
      <x:c r="C32" s="10"/>
      <x:c r="D32" s="11"/>
      <x:c r="E32" s="13"/>
      <x:c r="F32" s="12" t="str">
        <x:f>IF(OR(A32="",B32="",C32="",NOT(ISNUMBER(D32)),NOT(ISNUMBER(E32))),"",ROUND(D32*E32,2))</x:f>
      </x:c>
      <x:c r="G32" s="12" t="str">
        <x:f>IF(NOT(ISNUMBER(F32)),"",D32-F32)</x:f>
      </x:c>
      <x:c r="H32" s="10"/>
      <x:c r="I32" s="10"/>
    </x:row>
    <x:row r="33" ht="24" customHeight="1">
      <x:c r="A33" s="10"/>
      <x:c r="B33" s="5"/>
      <x:c r="C33" s="10"/>
      <x:c r="D33" s="11"/>
      <x:c r="E33" s="13"/>
      <x:c r="F33" s="12" t="str">
        <x:f>IF(OR(A33="",B33="",C33="",NOT(ISNUMBER(D33)),NOT(ISNUMBER(E33))),"",ROUND(D33*E33,2))</x:f>
      </x:c>
      <x:c r="G33" s="12" t="str">
        <x:f>IF(NOT(ISNUMBER(F33)),"",D33-F33)</x:f>
      </x:c>
      <x:c r="H33" s="10"/>
      <x:c r="I33" s="10"/>
    </x:row>
    <x:row r="34" ht="24" customHeight="1">
      <x:c r="A34" s="10"/>
      <x:c r="B34" s="5"/>
      <x:c r="C34" s="10"/>
      <x:c r="D34" s="11"/>
      <x:c r="E34" s="13"/>
      <x:c r="F34" s="12" t="str">
        <x:f>IF(OR(A34="",B34="",C34="",NOT(ISNUMBER(D34)),NOT(ISNUMBER(E34))),"",ROUND(D34*E34,2))</x:f>
      </x:c>
      <x:c r="G34" s="12" t="str">
        <x:f>IF(NOT(ISNUMBER(F34)),"",D34-F34)</x:f>
      </x:c>
      <x:c r="H34" s="10"/>
      <x:c r="I34" s="10"/>
    </x:row>
    <x:row r="35" ht="24" customHeight="1">
      <x:c r="A35" s="10"/>
      <x:c r="B35" s="5"/>
      <x:c r="C35" s="10"/>
      <x:c r="D35" s="11"/>
      <x:c r="E35" s="13"/>
      <x:c r="F35" s="12" t="str">
        <x:f>IF(OR(A35="",B35="",C35="",NOT(ISNUMBER(D35)),NOT(ISNUMBER(E35))),"",ROUND(D35*E35,2))</x:f>
      </x:c>
      <x:c r="G35" s="12" t="str">
        <x:f>IF(NOT(ISNUMBER(F35)),"",D35-F35)</x:f>
      </x:c>
      <x:c r="H35" s="10"/>
      <x:c r="I35" s="10"/>
    </x:row>
    <x:row r="36" ht="24" customHeight="1">
      <x:c r="A36" s="10"/>
      <x:c r="B36" s="5"/>
      <x:c r="C36" s="10"/>
      <x:c r="D36" s="11"/>
      <x:c r="E36" s="13"/>
      <x:c r="F36" s="12" t="str">
        <x:f>IF(OR(A36="",B36="",C36="",NOT(ISNUMBER(D36)),NOT(ISNUMBER(E36))),"",ROUND(D36*E36,2))</x:f>
      </x:c>
      <x:c r="G36" s="12" t="str">
        <x:f>IF(NOT(ISNUMBER(F36)),"",D36-F36)</x:f>
      </x:c>
      <x:c r="H36" s="10"/>
      <x:c r="I36" s="10"/>
    </x:row>
    <x:row r="37" ht="24" customHeight="1">
      <x:c r="A37" s="10"/>
      <x:c r="B37" s="5"/>
      <x:c r="C37" s="10"/>
      <x:c r="D37" s="11"/>
      <x:c r="E37" s="13"/>
      <x:c r="F37" s="12" t="str">
        <x:f>IF(OR(A37="",B37="",C37="",NOT(ISNUMBER(D37)),NOT(ISNUMBER(E37))),"",ROUND(D37*E37,2))</x:f>
      </x:c>
      <x:c r="G37" s="12" t="str">
        <x:f>IF(NOT(ISNUMBER(F37)),"",D37-F37)</x:f>
      </x:c>
      <x:c r="H37" s="10"/>
      <x:c r="I37" s="10"/>
    </x:row>
    <x:row r="38" ht="24" customHeight="1">
      <x:c r="A38" s="10"/>
      <x:c r="B38" s="5"/>
      <x:c r="C38" s="10"/>
      <x:c r="D38" s="11"/>
      <x:c r="E38" s="13"/>
      <x:c r="F38" s="12" t="str">
        <x:f>IF(OR(A38="",B38="",C38="",NOT(ISNUMBER(D38)),NOT(ISNUMBER(E38))),"",ROUND(D38*E38,2))</x:f>
      </x:c>
      <x:c r="G38" s="12" t="str">
        <x:f>IF(NOT(ISNUMBER(F38)),"",D38-F38)</x:f>
      </x:c>
      <x:c r="H38" s="10"/>
      <x:c r="I38" s="10"/>
    </x:row>
    <x:row r="39" ht="24" customHeight="1">
      <x:c r="A39" s="10"/>
      <x:c r="B39" s="5"/>
      <x:c r="C39" s="10"/>
      <x:c r="D39" s="11"/>
      <x:c r="E39" s="13"/>
      <x:c r="F39" s="12" t="str">
        <x:f>IF(OR(A39="",B39="",C39="",NOT(ISNUMBER(D39)),NOT(ISNUMBER(E39))),"",ROUND(D39*E39,2))</x:f>
      </x:c>
      <x:c r="G39" s="12" t="str">
        <x:f>IF(NOT(ISNUMBER(F39)),"",D39-F39)</x:f>
      </x:c>
      <x:c r="H39" s="10"/>
      <x:c r="I39" s="10"/>
    </x:row>
    <x:row r="40" ht="24" customHeight="1">
      <x:c r="A40" s="10"/>
      <x:c r="B40" s="5"/>
      <x:c r="C40" s="10"/>
      <x:c r="D40" s="11"/>
      <x:c r="E40" s="13"/>
      <x:c r="F40" s="12" t="str">
        <x:f>IF(OR(A40="",B40="",C40="",NOT(ISNUMBER(D40)),NOT(ISNUMBER(E40))),"",ROUND(D40*E40,2))</x:f>
      </x:c>
      <x:c r="G40" s="12" t="str">
        <x:f>IF(NOT(ISNUMBER(F40)),"",D40-F40)</x:f>
      </x:c>
      <x:c r="H40" s="10"/>
      <x:c r="I40" s="10"/>
    </x:row>
    <x:row r="41" ht="24" customHeight="1">
      <x:c r="A41" s="10"/>
      <x:c r="B41" s="5"/>
      <x:c r="C41" s="10"/>
      <x:c r="D41" s="11"/>
      <x:c r="E41" s="13"/>
      <x:c r="F41" s="12" t="str">
        <x:f>IF(OR(A41="",B41="",C41="",NOT(ISNUMBER(D41)),NOT(ISNUMBER(E41))),"",ROUND(D41*E41,2))</x:f>
      </x:c>
      <x:c r="G41" s="12" t="str">
        <x:f>IF(NOT(ISNUMBER(F41)),"",D41-F41)</x:f>
      </x:c>
      <x:c r="H41" s="10"/>
      <x:c r="I41" s="10"/>
    </x:row>
    <x:row r="42" ht="24" customHeight="1">
      <x:c r="A42" s="10"/>
      <x:c r="B42" s="5"/>
      <x:c r="C42" s="10"/>
      <x:c r="D42" s="11"/>
      <x:c r="E42" s="13"/>
      <x:c r="F42" s="12" t="str">
        <x:f>IF(OR(A42="",B42="",C42="",NOT(ISNUMBER(D42)),NOT(ISNUMBER(E42))),"",ROUND(D42*E42,2))</x:f>
      </x:c>
      <x:c r="G42" s="12" t="str">
        <x:f>IF(NOT(ISNUMBER(F42)),"",D42-F42)</x:f>
      </x:c>
      <x:c r="H42" s="10"/>
      <x:c r="I42" s="10"/>
    </x:row>
    <x:row r="43" ht="24" customHeight="1">
      <x:c r="A43" s="10"/>
      <x:c r="B43" s="5"/>
      <x:c r="C43" s="10"/>
      <x:c r="D43" s="11"/>
      <x:c r="E43" s="13"/>
      <x:c r="F43" s="12" t="str">
        <x:f>IF(OR(A43="",B43="",C43="",NOT(ISNUMBER(D43)),NOT(ISNUMBER(E43))),"",ROUND(D43*E43,2))</x:f>
      </x:c>
      <x:c r="G43" s="12" t="str">
        <x:f>IF(NOT(ISNUMBER(F43)),"",D43-F43)</x:f>
      </x:c>
      <x:c r="H43" s="10"/>
      <x:c r="I43" s="10"/>
    </x:row>
    <x:row r="44" ht="24" customHeight="1">
      <x:c r="A44" s="10"/>
      <x:c r="B44" s="5"/>
      <x:c r="C44" s="10"/>
      <x:c r="D44" s="11"/>
      <x:c r="E44" s="13"/>
      <x:c r="F44" s="12" t="str">
        <x:f>IF(OR(A44="",B44="",C44="",NOT(ISNUMBER(D44)),NOT(ISNUMBER(E44))),"",ROUND(D44*E44,2))</x:f>
      </x:c>
      <x:c r="G44" s="12" t="str">
        <x:f>IF(NOT(ISNUMBER(F44)),"",D44-F44)</x:f>
      </x:c>
      <x:c r="H44" s="10"/>
      <x:c r="I44" s="10"/>
    </x:row>
    <x:row r="45" ht="24" customHeight="1">
      <x:c r="A45" s="10"/>
      <x:c r="B45" s="5"/>
      <x:c r="C45" s="10"/>
      <x:c r="D45" s="11"/>
      <x:c r="E45" s="13"/>
      <x:c r="F45" s="12" t="str">
        <x:f>IF(OR(A45="",B45="",C45="",NOT(ISNUMBER(D45)),NOT(ISNUMBER(E45))),"",ROUND(D45*E45,2))</x:f>
      </x:c>
      <x:c r="G45" s="12" t="str">
        <x:f>IF(NOT(ISNUMBER(F45)),"",D45-F45)</x:f>
      </x:c>
      <x:c r="H45" s="10"/>
      <x:c r="I45" s="10"/>
    </x:row>
    <x:row r="46" ht="24" customHeight="1">
      <x:c r="A46" s="10"/>
      <x:c r="B46" s="5"/>
      <x:c r="C46" s="10"/>
      <x:c r="D46" s="11"/>
      <x:c r="E46" s="13"/>
      <x:c r="F46" s="12" t="str">
        <x:f>IF(OR(A46="",B46="",C46="",NOT(ISNUMBER(D46)),NOT(ISNUMBER(E46))),"",ROUND(D46*E46,2))</x:f>
      </x:c>
      <x:c r="G46" s="12" t="str">
        <x:f>IF(NOT(ISNUMBER(F46)),"",D46-F46)</x:f>
      </x:c>
      <x:c r="H46" s="10"/>
      <x:c r="I46" s="10"/>
    </x:row>
    <x:row r="47" ht="24" customHeight="1">
      <x:c r="A47" s="10"/>
      <x:c r="B47" s="5"/>
      <x:c r="C47" s="10"/>
      <x:c r="D47" s="11"/>
      <x:c r="E47" s="13"/>
      <x:c r="F47" s="12" t="str">
        <x:f>IF(OR(A47="",B47="",C47="",NOT(ISNUMBER(D47)),NOT(ISNUMBER(E47))),"",ROUND(D47*E47,2))</x:f>
      </x:c>
      <x:c r="G47" s="12" t="str">
        <x:f>IF(NOT(ISNUMBER(F47)),"",D47-F47)</x:f>
      </x:c>
      <x:c r="H47" s="10"/>
      <x:c r="I47" s="10"/>
    </x:row>
    <x:row r="48" ht="24" customHeight="1">
      <x:c r="A48" s="10"/>
      <x:c r="B48" s="5"/>
      <x:c r="C48" s="10"/>
      <x:c r="D48" s="11"/>
      <x:c r="E48" s="13"/>
      <x:c r="F48" s="12" t="str">
        <x:f>IF(OR(A48="",B48="",C48="",NOT(ISNUMBER(D48)),NOT(ISNUMBER(E48))),"",ROUND(D48*E48,2))</x:f>
      </x:c>
      <x:c r="G48" s="12" t="str">
        <x:f>IF(NOT(ISNUMBER(F48)),"",D48-F48)</x:f>
      </x:c>
      <x:c r="H48" s="10"/>
      <x:c r="I48" s="10"/>
    </x:row>
    <x:row r="49" ht="24" customHeight="1">
      <x:c r="A49" s="10"/>
      <x:c r="B49" s="5"/>
      <x:c r="C49" s="10"/>
      <x:c r="D49" s="11"/>
      <x:c r="E49" s="13"/>
      <x:c r="F49" s="12" t="str">
        <x:f>IF(OR(A49="",B49="",C49="",NOT(ISNUMBER(D49)),NOT(ISNUMBER(E49))),"",ROUND(D49*E49,2))</x:f>
      </x:c>
      <x:c r="G49" s="12" t="str">
        <x:f>IF(NOT(ISNUMBER(F49)),"",D49-F49)</x:f>
      </x:c>
      <x:c r="H49" s="10"/>
      <x:c r="I49" s="10"/>
    </x:row>
    <x:row r="50" ht="24" customHeight="1">
      <x:c r="A50" s="10"/>
      <x:c r="B50" s="5"/>
      <x:c r="C50" s="10"/>
      <x:c r="D50" s="11"/>
      <x:c r="E50" s="13"/>
      <x:c r="F50" s="12" t="str">
        <x:f>IF(OR(A50="",B50="",C50="",NOT(ISNUMBER(D50)),NOT(ISNUMBER(E50))),"",ROUND(D50*E50,2))</x:f>
      </x:c>
      <x:c r="G50" s="12" t="str">
        <x:f>IF(NOT(ISNUMBER(F50)),"",D50-F50)</x:f>
      </x:c>
      <x:c r="H50" s="10"/>
      <x:c r="I50" s="10"/>
    </x:row>
    <x:row r="51" ht="24" customHeight="1">
      <x:c r="A51" s="10"/>
      <x:c r="B51" s="5"/>
      <x:c r="C51" s="10"/>
      <x:c r="D51" s="11"/>
      <x:c r="E51" s="13"/>
      <x:c r="F51" s="12" t="str">
        <x:f>IF(OR(A51="",B51="",C51="",NOT(ISNUMBER(D51)),NOT(ISNUMBER(E51))),"",ROUND(D51*E51,2))</x:f>
      </x:c>
      <x:c r="G51" s="12" t="str">
        <x:f>IF(NOT(ISNUMBER(F51)),"",D51-F51)</x:f>
      </x:c>
      <x:c r="H51" s="10"/>
      <x:c r="I51" s="10"/>
    </x:row>
    <x:row r="52" ht="24" customHeight="1">
      <x:c r="A52" s="10"/>
      <x:c r="B52" s="5"/>
      <x:c r="C52" s="10"/>
      <x:c r="D52" s="11"/>
      <x:c r="E52" s="13"/>
      <x:c r="F52" s="12" t="str">
        <x:f>IF(OR(A52="",B52="",C52="",NOT(ISNUMBER(D52)),NOT(ISNUMBER(E52))),"",ROUND(D52*E52,2))</x:f>
      </x:c>
      <x:c r="G52" s="12" t="str">
        <x:f>IF(NOT(ISNUMBER(F52)),"",D52-F52)</x:f>
      </x:c>
      <x:c r="H52" s="10"/>
      <x:c r="I52" s="10"/>
    </x:row>
    <x:row r="53" ht="24" customHeight="1">
      <x:c r="A53" s="10"/>
      <x:c r="B53" s="5"/>
      <x:c r="C53" s="10"/>
      <x:c r="D53" s="11"/>
      <x:c r="E53" s="13"/>
      <x:c r="F53" s="12" t="str">
        <x:f>IF(OR(A53="",B53="",C53="",NOT(ISNUMBER(D53)),NOT(ISNUMBER(E53))),"",ROUND(D53*E53,2))</x:f>
      </x:c>
      <x:c r="G53" s="12" t="str">
        <x:f>IF(NOT(ISNUMBER(F53)),"",D53-F53)</x:f>
      </x:c>
      <x:c r="H53" s="10"/>
      <x:c r="I53" s="10"/>
    </x:row>
    <x:row r="54" ht="24" customHeight="1">
      <x:c r="A54" s="10"/>
      <x:c r="B54" s="5"/>
      <x:c r="C54" s="10"/>
      <x:c r="D54" s="11"/>
      <x:c r="E54" s="13"/>
      <x:c r="F54" s="12" t="str">
        <x:f>IF(OR(A54="",B54="",C54="",NOT(ISNUMBER(D54)),NOT(ISNUMBER(E54))),"",ROUND(D54*E54,2))</x:f>
      </x:c>
      <x:c r="G54" s="12" t="str">
        <x:f>IF(NOT(ISNUMBER(F54)),"",D54-F54)</x:f>
      </x:c>
      <x:c r="H54" s="10"/>
      <x:c r="I54" s="10"/>
    </x:row>
    <x:row r="55" ht="24" customHeight="1">
      <x:c r="A55" s="10"/>
      <x:c r="B55" s="5"/>
      <x:c r="C55" s="10"/>
      <x:c r="D55" s="11"/>
      <x:c r="E55" s="13"/>
      <x:c r="F55" s="12" t="str">
        <x:f>IF(OR(A55="",B55="",C55="",NOT(ISNUMBER(D55)),NOT(ISNUMBER(E55))),"",ROUND(D55*E55,2))</x:f>
      </x:c>
      <x:c r="G55" s="12" t="str">
        <x:f>IF(NOT(ISNUMBER(F55)),"",D55-F55)</x:f>
      </x:c>
      <x:c r="H55" s="10"/>
      <x:c r="I55" s="10"/>
    </x:row>
    <x:row r="56" ht="24" customHeight="1">
      <x:c r="A56" s="10"/>
      <x:c r="B56" s="5"/>
      <x:c r="C56" s="10"/>
      <x:c r="D56" s="11"/>
      <x:c r="E56" s="13"/>
      <x:c r="F56" s="12" t="str">
        <x:f>IF(OR(A56="",B56="",C56="",NOT(ISNUMBER(D56)),NOT(ISNUMBER(E56))),"",ROUND(D56*E56,2))</x:f>
      </x:c>
      <x:c r="G56" s="12" t="str">
        <x:f>IF(NOT(ISNUMBER(F56)),"",D56-F56)</x:f>
      </x:c>
      <x:c r="H56" s="10"/>
      <x:c r="I56" s="10"/>
    </x:row>
    <x:row r="57" ht="24" customHeight="1">
      <x:c r="A57" s="10"/>
      <x:c r="B57" s="5"/>
      <x:c r="C57" s="10"/>
      <x:c r="D57" s="11"/>
      <x:c r="E57" s="13"/>
      <x:c r="F57" s="12" t="str">
        <x:f>IF(OR(A57="",B57="",C57="",NOT(ISNUMBER(D57)),NOT(ISNUMBER(E57))),"",ROUND(D57*E57,2))</x:f>
      </x:c>
      <x:c r="G57" s="12" t="str">
        <x:f>IF(NOT(ISNUMBER(F57)),"",D57-F57)</x:f>
      </x:c>
      <x:c r="H57" s="10"/>
      <x:c r="I57" s="10"/>
    </x:row>
    <x:row r="58" ht="24" customHeight="1">
      <x:c r="A58" s="10"/>
      <x:c r="B58" s="5"/>
      <x:c r="C58" s="10"/>
      <x:c r="D58" s="11"/>
      <x:c r="E58" s="13"/>
      <x:c r="F58" s="12" t="str">
        <x:f>IF(OR(A58="",B58="",C58="",NOT(ISNUMBER(D58)),NOT(ISNUMBER(E58))),"",ROUND(D58*E58,2))</x:f>
      </x:c>
      <x:c r="G58" s="12" t="str">
        <x:f>IF(NOT(ISNUMBER(F58)),"",D58-F58)</x:f>
      </x:c>
      <x:c r="H58" s="10"/>
      <x:c r="I58" s="10"/>
    </x:row>
    <x:row r="59" ht="24" customHeight="1">
      <x:c r="A59" s="10"/>
      <x:c r="B59" s="5"/>
      <x:c r="C59" s="10"/>
      <x:c r="D59" s="11"/>
      <x:c r="E59" s="13"/>
      <x:c r="F59" s="12" t="str">
        <x:f>IF(OR(A59="",B59="",C59="",NOT(ISNUMBER(D59)),NOT(ISNUMBER(E59))),"",ROUND(D59*E59,2))</x:f>
      </x:c>
      <x:c r="G59" s="12" t="str">
        <x:f>IF(NOT(ISNUMBER(F59)),"",D59-F59)</x:f>
      </x:c>
      <x:c r="H59" s="10"/>
      <x:c r="I59" s="10"/>
    </x:row>
    <x:row r="60" ht="24" customHeight="1">
      <x:c r="A60" s="10"/>
      <x:c r="B60" s="5"/>
      <x:c r="C60" s="10"/>
      <x:c r="D60" s="11"/>
      <x:c r="E60" s="13"/>
      <x:c r="F60" s="12" t="str">
        <x:f>IF(OR(A60="",B60="",C60="",NOT(ISNUMBER(D60)),NOT(ISNUMBER(E60))),"",ROUND(D60*E60,2))</x:f>
      </x:c>
      <x:c r="G60" s="12" t="str">
        <x:f>IF(NOT(ISNUMBER(F60)),"",D60-F60)</x:f>
      </x:c>
      <x:c r="H60" s="10"/>
      <x:c r="I60" s="10"/>
    </x:row>
    <x:row r="61" ht="24" customHeight="1">
      <x:c r="A61" s="10"/>
      <x:c r="B61" s="5"/>
      <x:c r="C61" s="10"/>
      <x:c r="D61" s="11"/>
      <x:c r="E61" s="13"/>
      <x:c r="F61" s="12" t="str">
        <x:f>IF(OR(A61="",B61="",C61="",NOT(ISNUMBER(D61)),NOT(ISNUMBER(E61))),"",ROUND(D61*E61,2))</x:f>
      </x:c>
      <x:c r="G61" s="12" t="str">
        <x:f>IF(NOT(ISNUMBER(F61)),"",D61-F61)</x:f>
      </x:c>
      <x:c r="H61" s="10"/>
      <x:c r="I61" s="10"/>
    </x:row>
    <x:row r="62" ht="24" customHeight="1">
      <x:c r="A62" s="10"/>
      <x:c r="B62" s="5"/>
      <x:c r="C62" s="10"/>
      <x:c r="D62" s="11"/>
      <x:c r="E62" s="13"/>
      <x:c r="F62" s="12" t="str">
        <x:f>IF(OR(A62="",B62="",C62="",NOT(ISNUMBER(D62)),NOT(ISNUMBER(E62))),"",ROUND(D62*E62,2))</x:f>
      </x:c>
      <x:c r="G62" s="12" t="str">
        <x:f>IF(NOT(ISNUMBER(F62)),"",D62-F62)</x:f>
      </x:c>
      <x:c r="H62" s="10"/>
      <x:c r="I62" s="10"/>
    </x:row>
    <x:row r="63" ht="24" customHeight="1">
      <x:c r="A63" s="10"/>
      <x:c r="B63" s="5"/>
      <x:c r="C63" s="10"/>
      <x:c r="D63" s="11"/>
      <x:c r="E63" s="13"/>
      <x:c r="F63" s="12" t="str">
        <x:f>IF(OR(A63="",B63="",C63="",NOT(ISNUMBER(D63)),NOT(ISNUMBER(E63))),"",ROUND(D63*E63,2))</x:f>
      </x:c>
      <x:c r="G63" s="12" t="str">
        <x:f>IF(NOT(ISNUMBER(F63)),"",D63-F63)</x:f>
      </x:c>
      <x:c r="H63" s="10"/>
      <x:c r="I63" s="10"/>
    </x:row>
    <x:row r="64" ht="24" customHeight="1">
      <x:c r="A64" s="10"/>
      <x:c r="B64" s="5"/>
      <x:c r="C64" s="10"/>
      <x:c r="D64" s="11"/>
      <x:c r="E64" s="13"/>
      <x:c r="F64" s="12" t="str">
        <x:f>IF(OR(A64="",B64="",C64="",NOT(ISNUMBER(D64)),NOT(ISNUMBER(E64))),"",ROUND(D64*E64,2))</x:f>
      </x:c>
      <x:c r="G64" s="12" t="str">
        <x:f>IF(NOT(ISNUMBER(F64)),"",D64-F64)</x:f>
      </x:c>
      <x:c r="H64" s="10"/>
      <x:c r="I64" s="10"/>
    </x:row>
    <x:row r="65" ht="24" customHeight="1">
      <x:c r="A65" s="10"/>
      <x:c r="B65" s="5"/>
      <x:c r="C65" s="10"/>
      <x:c r="D65" s="11"/>
      <x:c r="E65" s="13"/>
      <x:c r="F65" s="12" t="str">
        <x:f>IF(OR(A65="",B65="",C65="",NOT(ISNUMBER(D65)),NOT(ISNUMBER(E65))),"",ROUND(D65*E65,2))</x:f>
      </x:c>
      <x:c r="G65" s="12" t="str">
        <x:f>IF(NOT(ISNUMBER(F65)),"",D65-F65)</x:f>
      </x:c>
      <x:c r="H65" s="10"/>
      <x:c r="I65" s="10"/>
    </x:row>
    <x:row r="66" ht="24" customHeight="1">
      <x:c r="A66" s="10"/>
      <x:c r="B66" s="5"/>
      <x:c r="C66" s="10"/>
      <x:c r="D66" s="11"/>
      <x:c r="E66" s="13"/>
      <x:c r="F66" s="12" t="str">
        <x:f>IF(OR(A66="",B66="",C66="",NOT(ISNUMBER(D66)),NOT(ISNUMBER(E66))),"",ROUND(D66*E66,2))</x:f>
      </x:c>
      <x:c r="G66" s="12" t="str">
        <x:f>IF(NOT(ISNUMBER(F66)),"",D66-F66)</x:f>
      </x:c>
      <x:c r="H66" s="10"/>
      <x:c r="I66" s="10"/>
    </x:row>
    <x:row r="67" ht="24" customHeight="1">
      <x:c r="A67" s="10"/>
      <x:c r="B67" s="5"/>
      <x:c r="C67" s="10"/>
      <x:c r="D67" s="11"/>
      <x:c r="E67" s="13"/>
      <x:c r="F67" s="12" t="str">
        <x:f>IF(OR(A67="",B67="",C67="",NOT(ISNUMBER(D67)),NOT(ISNUMBER(E67))),"",ROUND(D67*E67,2))</x:f>
      </x:c>
      <x:c r="G67" s="12" t="str">
        <x:f>IF(NOT(ISNUMBER(F67)),"",D67-F67)</x:f>
      </x:c>
      <x:c r="H67" s="10"/>
      <x:c r="I67" s="10"/>
    </x:row>
    <x:row r="68" ht="24" customHeight="1">
      <x:c r="A68" s="10"/>
      <x:c r="B68" s="5"/>
      <x:c r="C68" s="10"/>
      <x:c r="D68" s="11"/>
      <x:c r="E68" s="13"/>
      <x:c r="F68" s="12" t="str">
        <x:f>IF(OR(A68="",B68="",C68="",NOT(ISNUMBER(D68)),NOT(ISNUMBER(E68))),"",ROUND(D68*E68,2))</x:f>
      </x:c>
      <x:c r="G68" s="12" t="str">
        <x:f>IF(NOT(ISNUMBER(F68)),"",D68-F68)</x:f>
      </x:c>
      <x:c r="H68" s="10"/>
      <x:c r="I68" s="10"/>
    </x:row>
    <x:row r="69" ht="24" customHeight="1">
      <x:c r="A69" s="10"/>
      <x:c r="B69" s="5"/>
      <x:c r="C69" s="10"/>
      <x:c r="D69" s="11"/>
      <x:c r="E69" s="13"/>
      <x:c r="F69" s="12" t="str">
        <x:f>IF(OR(A69="",B69="",C69="",NOT(ISNUMBER(D69)),NOT(ISNUMBER(E69))),"",ROUND(D69*E69,2))</x:f>
      </x:c>
      <x:c r="G69" s="12" t="str">
        <x:f>IF(NOT(ISNUMBER(F69)),"",D69-F69)</x:f>
      </x:c>
      <x:c r="H69" s="10"/>
      <x:c r="I69" s="10"/>
    </x:row>
    <x:row r="70" ht="24" customHeight="1">
      <x:c r="A70" s="10"/>
      <x:c r="B70" s="5"/>
      <x:c r="C70" s="10"/>
      <x:c r="D70" s="11"/>
      <x:c r="E70" s="13"/>
      <x:c r="F70" s="12" t="str">
        <x:f>IF(OR(A70="",B70="",C70="",NOT(ISNUMBER(D70)),NOT(ISNUMBER(E70))),"",ROUND(D70*E70,2))</x:f>
      </x:c>
      <x:c r="G70" s="12" t="str">
        <x:f>IF(NOT(ISNUMBER(F70)),"",D70-F70)</x:f>
      </x:c>
      <x:c r="H70" s="10"/>
      <x:c r="I70" s="10"/>
    </x:row>
    <x:row r="71" ht="24" customHeight="1">
      <x:c r="A71" s="10"/>
      <x:c r="B71" s="5"/>
      <x:c r="C71" s="10"/>
      <x:c r="D71" s="11"/>
      <x:c r="E71" s="13"/>
      <x:c r="F71" s="12" t="str">
        <x:f>IF(OR(A71="",B71="",C71="",NOT(ISNUMBER(D71)),NOT(ISNUMBER(E71))),"",ROUND(D71*E71,2))</x:f>
      </x:c>
      <x:c r="G71" s="12" t="str">
        <x:f>IF(NOT(ISNUMBER(F71)),"",D71-F71)</x:f>
      </x:c>
      <x:c r="H71" s="10"/>
      <x:c r="I71" s="10"/>
    </x:row>
    <x:row r="72" ht="24" customHeight="1">
      <x:c r="A72" s="10"/>
      <x:c r="B72" s="5"/>
      <x:c r="C72" s="10"/>
      <x:c r="D72" s="11"/>
      <x:c r="E72" s="13"/>
      <x:c r="F72" s="12" t="str">
        <x:f>IF(OR(A72="",B72="",C72="",NOT(ISNUMBER(D72)),NOT(ISNUMBER(E72))),"",ROUND(D72*E72,2))</x:f>
      </x:c>
      <x:c r="G72" s="12" t="str">
        <x:f>IF(NOT(ISNUMBER(F72)),"",D72-F72)</x:f>
      </x:c>
      <x:c r="H72" s="10"/>
      <x:c r="I72" s="10"/>
    </x:row>
    <x:row r="73" ht="24" customHeight="1">
      <x:c r="A73" s="10"/>
      <x:c r="B73" s="5"/>
      <x:c r="C73" s="10"/>
      <x:c r="D73" s="11"/>
      <x:c r="E73" s="13"/>
      <x:c r="F73" s="12" t="str">
        <x:f>IF(OR(A73="",B73="",C73="",NOT(ISNUMBER(D73)),NOT(ISNUMBER(E73))),"",ROUND(D73*E73,2))</x:f>
      </x:c>
      <x:c r="G73" s="12" t="str">
        <x:f>IF(NOT(ISNUMBER(F73)),"",D73-F73)</x:f>
      </x:c>
      <x:c r="H73" s="10"/>
      <x:c r="I73" s="10"/>
    </x:row>
    <x:row r="74" ht="24" customHeight="1">
      <x:c r="A74" s="10"/>
      <x:c r="B74" s="5"/>
      <x:c r="C74" s="10"/>
      <x:c r="D74" s="11"/>
      <x:c r="E74" s="13"/>
      <x:c r="F74" s="12" t="str">
        <x:f>IF(OR(A74="",B74="",C74="",NOT(ISNUMBER(D74)),NOT(ISNUMBER(E74))),"",ROUND(D74*E74,2))</x:f>
      </x:c>
      <x:c r="G74" s="12" t="str">
        <x:f>IF(NOT(ISNUMBER(F74)),"",D74-F74)</x:f>
      </x:c>
      <x:c r="H74" s="10"/>
      <x:c r="I74" s="10"/>
    </x:row>
    <x:row r="75" ht="24" customHeight="1">
      <x:c r="A75" s="10"/>
      <x:c r="B75" s="5"/>
      <x:c r="C75" s="10"/>
      <x:c r="D75" s="11"/>
      <x:c r="E75" s="13"/>
      <x:c r="F75" s="12" t="str">
        <x:f>IF(OR(A75="",B75="",C75="",NOT(ISNUMBER(D75)),NOT(ISNUMBER(E75))),"",ROUND(D75*E75,2))</x:f>
      </x:c>
      <x:c r="G75" s="12" t="str">
        <x:f>IF(NOT(ISNUMBER(F75)),"",D75-F75)</x:f>
      </x:c>
      <x:c r="H75" s="10"/>
      <x:c r="I75" s="10"/>
    </x:row>
    <x:row r="76" ht="24" customHeight="1">
      <x:c r="A76" s="10"/>
      <x:c r="B76" s="5"/>
      <x:c r="C76" s="10"/>
      <x:c r="D76" s="11"/>
      <x:c r="E76" s="13"/>
      <x:c r="F76" s="12" t="str">
        <x:f>IF(OR(A76="",B76="",C76="",NOT(ISNUMBER(D76)),NOT(ISNUMBER(E76))),"",ROUND(D76*E76,2))</x:f>
      </x:c>
      <x:c r="G76" s="12" t="str">
        <x:f>IF(NOT(ISNUMBER(F76)),"",D76-F76)</x:f>
      </x:c>
      <x:c r="H76" s="10"/>
      <x:c r="I76" s="10"/>
    </x:row>
    <x:row r="77" ht="24" customHeight="1">
      <x:c r="A77" s="10"/>
      <x:c r="B77" s="5"/>
      <x:c r="C77" s="10"/>
      <x:c r="D77" s="11"/>
      <x:c r="E77" s="13"/>
      <x:c r="F77" s="12" t="str">
        <x:f>IF(OR(A77="",B77="",C77="",NOT(ISNUMBER(D77)),NOT(ISNUMBER(E77))),"",ROUND(D77*E77,2))</x:f>
      </x:c>
      <x:c r="G77" s="12" t="str">
        <x:f>IF(NOT(ISNUMBER(F77)),"",D77-F77)</x:f>
      </x:c>
      <x:c r="H77" s="10"/>
      <x:c r="I77" s="10"/>
    </x:row>
    <x:row r="78" ht="24" customHeight="1">
      <x:c r="A78" s="10"/>
      <x:c r="B78" s="5"/>
      <x:c r="C78" s="10"/>
      <x:c r="D78" s="11"/>
      <x:c r="E78" s="13"/>
      <x:c r="F78" s="12" t="str">
        <x:f>IF(OR(A78="",B78="",C78="",NOT(ISNUMBER(D78)),NOT(ISNUMBER(E78))),"",ROUND(D78*E78,2))</x:f>
      </x:c>
      <x:c r="G78" s="12" t="str">
        <x:f>IF(NOT(ISNUMBER(F78)),"",D78-F78)</x:f>
      </x:c>
      <x:c r="H78" s="10"/>
      <x:c r="I78" s="10"/>
    </x:row>
    <x:row r="79" ht="24" customHeight="1">
      <x:c r="A79" s="10"/>
      <x:c r="B79" s="5"/>
      <x:c r="C79" s="10"/>
      <x:c r="D79" s="11"/>
      <x:c r="E79" s="13"/>
      <x:c r="F79" s="12" t="str">
        <x:f>IF(OR(A79="",B79="",C79="",NOT(ISNUMBER(D79)),NOT(ISNUMBER(E79))),"",ROUND(D79*E79,2))</x:f>
      </x:c>
      <x:c r="G79" s="12" t="str">
        <x:f>IF(NOT(ISNUMBER(F79)),"",D79-F79)</x:f>
      </x:c>
      <x:c r="H79" s="10"/>
      <x:c r="I79" s="10"/>
    </x:row>
    <x:row r="80" ht="24" customHeight="1">
      <x:c r="A80" s="10"/>
      <x:c r="B80" s="5"/>
      <x:c r="C80" s="10"/>
      <x:c r="D80" s="11"/>
      <x:c r="E80" s="13"/>
      <x:c r="F80" s="12" t="str">
        <x:f>IF(OR(A80="",B80="",C80="",NOT(ISNUMBER(D80)),NOT(ISNUMBER(E80))),"",ROUND(D80*E80,2))</x:f>
      </x:c>
      <x:c r="G80" s="12" t="str">
        <x:f>IF(NOT(ISNUMBER(F80)),"",D80-F80)</x:f>
      </x:c>
      <x:c r="H80" s="10"/>
      <x:c r="I80" s="10"/>
    </x:row>
    <x:row r="81" ht="24" customHeight="1">
      <x:c r="A81" s="10"/>
      <x:c r="B81" s="5"/>
      <x:c r="C81" s="10"/>
      <x:c r="D81" s="11"/>
      <x:c r="E81" s="13"/>
      <x:c r="F81" s="12" t="str">
        <x:f>IF(OR(A81="",B81="",C81="",NOT(ISNUMBER(D81)),NOT(ISNUMBER(E81))),"",ROUND(D81*E81,2))</x:f>
      </x:c>
      <x:c r="G81" s="12" t="str">
        <x:f>IF(NOT(ISNUMBER(F81)),"",D81-F81)</x:f>
      </x:c>
      <x:c r="H81" s="10"/>
      <x:c r="I81" s="10"/>
    </x:row>
    <x:row r="82" ht="24" customHeight="1">
      <x:c r="A82" s="10"/>
      <x:c r="B82" s="5"/>
      <x:c r="C82" s="10"/>
      <x:c r="D82" s="11"/>
      <x:c r="E82" s="13"/>
      <x:c r="F82" s="12" t="str">
        <x:f>IF(OR(A82="",B82="",C82="",NOT(ISNUMBER(D82)),NOT(ISNUMBER(E82))),"",ROUND(D82*E82,2))</x:f>
      </x:c>
      <x:c r="G82" s="12" t="str">
        <x:f>IF(NOT(ISNUMBER(F82)),"",D82-F82)</x:f>
      </x:c>
      <x:c r="H82" s="10"/>
      <x:c r="I82" s="10"/>
    </x:row>
    <x:row r="83" ht="24" customHeight="1">
      <x:c r="A83" s="10"/>
      <x:c r="B83" s="5"/>
      <x:c r="C83" s="10"/>
      <x:c r="D83" s="11"/>
      <x:c r="E83" s="13"/>
      <x:c r="F83" s="12" t="str">
        <x:f>IF(OR(A83="",B83="",C83="",NOT(ISNUMBER(D83)),NOT(ISNUMBER(E83))),"",ROUND(D83*E83,2))</x:f>
      </x:c>
      <x:c r="G83" s="12" t="str">
        <x:f>IF(NOT(ISNUMBER(F83)),"",D83-F83)</x:f>
      </x:c>
      <x:c r="H83" s="10"/>
      <x:c r="I83" s="10"/>
    </x:row>
    <x:row r="84" ht="24" customHeight="1">
      <x:c r="A84" s="10"/>
      <x:c r="B84" s="5"/>
      <x:c r="C84" s="10"/>
      <x:c r="D84" s="11"/>
      <x:c r="E84" s="13"/>
      <x:c r="F84" s="12" t="str">
        <x:f>IF(OR(A84="",B84="",C84="",NOT(ISNUMBER(D84)),NOT(ISNUMBER(E84))),"",ROUND(D84*E84,2))</x:f>
      </x:c>
      <x:c r="G84" s="12" t="str">
        <x:f>IF(NOT(ISNUMBER(F84)),"",D84-F84)</x:f>
      </x:c>
      <x:c r="H84" s="10"/>
      <x:c r="I84" s="10"/>
    </x:row>
    <x:row r="85" ht="24" customHeight="1">
      <x:c r="A85" s="10"/>
      <x:c r="B85" s="5"/>
      <x:c r="C85" s="10"/>
      <x:c r="D85" s="11"/>
      <x:c r="E85" s="13"/>
      <x:c r="F85" s="12" t="str">
        <x:f>IF(OR(A85="",B85="",C85="",NOT(ISNUMBER(D85)),NOT(ISNUMBER(E85))),"",ROUND(D85*E85,2))</x:f>
      </x:c>
      <x:c r="G85" s="12" t="str">
        <x:f>IF(NOT(ISNUMBER(F85)),"",D85-F85)</x:f>
      </x:c>
      <x:c r="H85" s="10"/>
      <x:c r="I85" s="10"/>
    </x:row>
    <x:row r="86" ht="24" customHeight="1">
      <x:c r="A86" s="10"/>
      <x:c r="B86" s="5"/>
      <x:c r="C86" s="10"/>
      <x:c r="D86" s="11"/>
      <x:c r="E86" s="13"/>
      <x:c r="F86" s="12" t="str">
        <x:f>IF(OR(A86="",B86="",C86="",NOT(ISNUMBER(D86)),NOT(ISNUMBER(E86))),"",ROUND(D86*E86,2))</x:f>
      </x:c>
      <x:c r="G86" s="12" t="str">
        <x:f>IF(NOT(ISNUMBER(F86)),"",D86-F86)</x:f>
      </x:c>
      <x:c r="H86" s="10"/>
      <x:c r="I86" s="10"/>
    </x:row>
    <x:row r="87" ht="24" customHeight="1">
      <x:c r="A87" s="10"/>
      <x:c r="B87" s="5"/>
      <x:c r="C87" s="10"/>
      <x:c r="D87" s="11"/>
      <x:c r="E87" s="13"/>
      <x:c r="F87" s="12" t="str">
        <x:f>IF(OR(A87="",B87="",C87="",NOT(ISNUMBER(D87)),NOT(ISNUMBER(E87))),"",ROUND(D87*E87,2))</x:f>
      </x:c>
      <x:c r="G87" s="12" t="str">
        <x:f>IF(NOT(ISNUMBER(F87)),"",D87-F87)</x:f>
      </x:c>
      <x:c r="H87" s="10"/>
      <x:c r="I87" s="10"/>
    </x:row>
    <x:row r="88" ht="24" customHeight="1">
      <x:c r="A88" s="10"/>
      <x:c r="B88" s="5"/>
      <x:c r="C88" s="10"/>
      <x:c r="D88" s="11"/>
      <x:c r="E88" s="13"/>
      <x:c r="F88" s="12" t="str">
        <x:f>IF(OR(A88="",B88="",C88="",NOT(ISNUMBER(D88)),NOT(ISNUMBER(E88))),"",ROUND(D88*E88,2))</x:f>
      </x:c>
      <x:c r="G88" s="12" t="str">
        <x:f>IF(NOT(ISNUMBER(F88)),"",D88-F88)</x:f>
      </x:c>
      <x:c r="H88" s="10"/>
      <x:c r="I88" s="10"/>
    </x:row>
    <x:row r="89" ht="24" customHeight="1">
      <x:c r="A89" s="10"/>
      <x:c r="B89" s="5"/>
      <x:c r="C89" s="10"/>
      <x:c r="D89" s="11"/>
      <x:c r="E89" s="13"/>
      <x:c r="F89" s="12" t="str">
        <x:f>IF(OR(A89="",B89="",C89="",NOT(ISNUMBER(D89)),NOT(ISNUMBER(E89))),"",ROUND(D89*E89,2))</x:f>
      </x:c>
      <x:c r="G89" s="12" t="str">
        <x:f>IF(NOT(ISNUMBER(F89)),"",D89-F89)</x:f>
      </x:c>
      <x:c r="H89" s="10"/>
      <x:c r="I89" s="10"/>
    </x:row>
    <x:row r="90" ht="24" customHeight="1">
      <x:c r="A90" s="10"/>
      <x:c r="B90" s="5"/>
      <x:c r="C90" s="10"/>
      <x:c r="D90" s="11"/>
      <x:c r="E90" s="13"/>
      <x:c r="F90" s="12" t="str">
        <x:f>IF(OR(A90="",B90="",C90="",NOT(ISNUMBER(D90)),NOT(ISNUMBER(E90))),"",ROUND(D90*E90,2))</x:f>
      </x:c>
      <x:c r="G90" s="12" t="str">
        <x:f>IF(NOT(ISNUMBER(F90)),"",D90-F90)</x:f>
      </x:c>
      <x:c r="H90" s="10"/>
      <x:c r="I90" s="10"/>
    </x:row>
    <x:row r="91" ht="24" customHeight="1">
      <x:c r="A91" s="10"/>
      <x:c r="B91" s="5"/>
      <x:c r="C91" s="10"/>
      <x:c r="D91" s="11"/>
      <x:c r="E91" s="13"/>
      <x:c r="F91" s="12" t="str">
        <x:f>IF(OR(A91="",B91="",C91="",NOT(ISNUMBER(D91)),NOT(ISNUMBER(E91))),"",ROUND(D91*E91,2))</x:f>
      </x:c>
      <x:c r="G91" s="12" t="str">
        <x:f>IF(NOT(ISNUMBER(F91)),"",D91-F91)</x:f>
      </x:c>
      <x:c r="H91" s="10"/>
      <x:c r="I91" s="10"/>
    </x:row>
    <x:row r="92" ht="24" customHeight="1">
      <x:c r="A92" s="10"/>
      <x:c r="B92" s="5"/>
      <x:c r="C92" s="10"/>
      <x:c r="D92" s="11"/>
      <x:c r="E92" s="13"/>
      <x:c r="F92" s="12" t="str">
        <x:f>IF(OR(A92="",B92="",C92="",NOT(ISNUMBER(D92)),NOT(ISNUMBER(E92))),"",ROUND(D92*E92,2))</x:f>
      </x:c>
      <x:c r="G92" s="12" t="str">
        <x:f>IF(NOT(ISNUMBER(F92)),"",D92-F92)</x:f>
      </x:c>
      <x:c r="H92" s="10"/>
      <x:c r="I92" s="10"/>
    </x:row>
    <x:row r="93" ht="24" customHeight="1">
      <x:c r="A93" s="10"/>
      <x:c r="B93" s="5"/>
      <x:c r="C93" s="10"/>
      <x:c r="D93" s="11"/>
      <x:c r="E93" s="13"/>
      <x:c r="F93" s="12" t="str">
        <x:f>IF(OR(A93="",B93="",C93="",NOT(ISNUMBER(D93)),NOT(ISNUMBER(E93))),"",ROUND(D93*E93,2))</x:f>
      </x:c>
      <x:c r="G93" s="12" t="str">
        <x:f>IF(NOT(ISNUMBER(F93)),"",D93-F93)</x:f>
      </x:c>
      <x:c r="H93" s="10"/>
      <x:c r="I93" s="10"/>
    </x:row>
    <x:row r="94" ht="24" customHeight="1">
      <x:c r="A94" s="10"/>
      <x:c r="B94" s="5"/>
      <x:c r="C94" s="10"/>
      <x:c r="D94" s="11"/>
      <x:c r="E94" s="13"/>
      <x:c r="F94" s="12" t="str">
        <x:f>IF(OR(A94="",B94="",C94="",NOT(ISNUMBER(D94)),NOT(ISNUMBER(E94))),"",ROUND(D94*E94,2))</x:f>
      </x:c>
      <x:c r="G94" s="12" t="str">
        <x:f>IF(NOT(ISNUMBER(F94)),"",D94-F94)</x:f>
      </x:c>
      <x:c r="H94" s="10"/>
      <x:c r="I94" s="10"/>
    </x:row>
    <x:row r="95" ht="24" customHeight="1">
      <x:c r="A95" s="10"/>
      <x:c r="B95" s="5"/>
      <x:c r="C95" s="10"/>
      <x:c r="D95" s="11"/>
      <x:c r="E95" s="13"/>
      <x:c r="F95" s="12" t="str">
        <x:f>IF(OR(A95="",B95="",C95="",NOT(ISNUMBER(D95)),NOT(ISNUMBER(E95))),"",ROUND(D95*E95,2))</x:f>
      </x:c>
      <x:c r="G95" s="12" t="str">
        <x:f>IF(NOT(ISNUMBER(F95)),"",D95-F95)</x:f>
      </x:c>
      <x:c r="H95" s="10"/>
      <x:c r="I95" s="10"/>
    </x:row>
    <x:row r="96" ht="24" customHeight="1">
      <x:c r="A96" s="10"/>
      <x:c r="B96" s="5"/>
      <x:c r="C96" s="10"/>
      <x:c r="D96" s="11"/>
      <x:c r="E96" s="13"/>
      <x:c r="F96" s="12" t="str">
        <x:f>IF(OR(A96="",B96="",C96="",NOT(ISNUMBER(D96)),NOT(ISNUMBER(E96))),"",ROUND(D96*E96,2))</x:f>
      </x:c>
      <x:c r="G96" s="12" t="str">
        <x:f>IF(NOT(ISNUMBER(F96)),"",D96-F96)</x:f>
      </x:c>
      <x:c r="H96" s="10"/>
      <x:c r="I96" s="10"/>
    </x:row>
    <x:row r="97" ht="24" customHeight="1">
      <x:c r="A97" s="10"/>
      <x:c r="B97" s="5"/>
      <x:c r="C97" s="10"/>
      <x:c r="D97" s="11"/>
      <x:c r="E97" s="13"/>
      <x:c r="F97" s="12" t="str">
        <x:f>IF(OR(A97="",B97="",C97="",NOT(ISNUMBER(D97)),NOT(ISNUMBER(E97))),"",ROUND(D97*E97,2))</x:f>
      </x:c>
      <x:c r="G97" s="12" t="str">
        <x:f>IF(NOT(ISNUMBER(F97)),"",D97-F97)</x:f>
      </x:c>
      <x:c r="H97" s="10"/>
      <x:c r="I97" s="10"/>
    </x:row>
    <x:row r="98" ht="24" customHeight="1">
      <x:c r="A98" s="10"/>
      <x:c r="B98" s="5"/>
      <x:c r="C98" s="10"/>
      <x:c r="D98" s="11"/>
      <x:c r="E98" s="13"/>
      <x:c r="F98" s="12" t="str">
        <x:f>IF(OR(A98="",B98="",C98="",NOT(ISNUMBER(D98)),NOT(ISNUMBER(E98))),"",ROUND(D98*E98,2))</x:f>
      </x:c>
      <x:c r="G98" s="12" t="str">
        <x:f>IF(NOT(ISNUMBER(F98)),"",D98-F98)</x:f>
      </x:c>
      <x:c r="H98" s="10"/>
      <x:c r="I98" s="10"/>
    </x:row>
    <x:row r="99" ht="24" customHeight="1">
      <x:c r="A99" s="10"/>
      <x:c r="B99" s="5"/>
      <x:c r="C99" s="10"/>
      <x:c r="D99" s="11"/>
      <x:c r="E99" s="13"/>
      <x:c r="F99" s="12" t="str">
        <x:f>IF(OR(A99="",B99="",C99="",NOT(ISNUMBER(D99)),NOT(ISNUMBER(E99))),"",ROUND(D99*E99,2))</x:f>
      </x:c>
      <x:c r="G99" s="12" t="str">
        <x:f>IF(NOT(ISNUMBER(F99)),"",D99-F99)</x:f>
      </x:c>
      <x:c r="H99" s="10"/>
      <x:c r="I99" s="10"/>
    </x:row>
    <x:row r="100" ht="24" customHeight="1">
      <x:c r="A100" s="10"/>
      <x:c r="B100" s="5"/>
      <x:c r="C100" s="10"/>
      <x:c r="D100" s="11"/>
      <x:c r="E100" s="13"/>
      <x:c r="F100" s="12" t="str">
        <x:f>IF(OR(A100="",B100="",C100="",NOT(ISNUMBER(D100)),NOT(ISNUMBER(E100))),"",ROUND(D100*E100,2))</x:f>
      </x:c>
      <x:c r="G100" s="12" t="str">
        <x:f>IF(NOT(ISNUMBER(F100)),"",D100-F100)</x:f>
      </x:c>
      <x:c r="H100" s="10"/>
      <x:c r="I100" s="10"/>
    </x:row>
    <x:row r="101" ht="24" customHeight="1">
      <x:c r="A101" s="10"/>
      <x:c r="B101" s="5"/>
      <x:c r="C101" s="10"/>
      <x:c r="D101" s="11"/>
      <x:c r="E101" s="13"/>
      <x:c r="F101" s="12" t="str">
        <x:f>IF(OR(A101="",B101="",C101="",NOT(ISNUMBER(D101)),NOT(ISNUMBER(E101))),"",ROUND(D101*E101,2))</x:f>
      </x:c>
      <x:c r="G101" s="12" t="str">
        <x:f>IF(NOT(ISNUMBER(F101)),"",D101-F101)</x:f>
      </x:c>
      <x:c r="H101" s="10"/>
      <x:c r="I101" s="10"/>
    </x:row>
    <x:row r="102" ht="24" customHeight="1">
      <x:c r="A102" s="10"/>
      <x:c r="B102" s="5"/>
      <x:c r="C102" s="10"/>
      <x:c r="D102" s="11"/>
      <x:c r="E102" s="13"/>
      <x:c r="F102" s="12" t="str">
        <x:f>IF(OR(A102="",B102="",C102="",NOT(ISNUMBER(D102)),NOT(ISNUMBER(E102))),"",ROUND(D102*E102,2))</x:f>
      </x:c>
      <x:c r="G102" s="12" t="str">
        <x:f>IF(NOT(ISNUMBER(F102)),"",D102-F102)</x:f>
      </x:c>
      <x:c r="H102" s="10"/>
      <x:c r="I102" s="10"/>
    </x:row>
    <x:row r="103" ht="24" customHeight="1">
      <x:c r="A103" s="10"/>
      <x:c r="B103" s="5"/>
      <x:c r="C103" s="10"/>
      <x:c r="D103" s="11"/>
      <x:c r="E103" s="13"/>
      <x:c r="F103" s="12" t="str">
        <x:f>IF(OR(A103="",B103="",C103="",NOT(ISNUMBER(D103)),NOT(ISNUMBER(E103))),"",ROUND(D103*E103,2))</x:f>
      </x:c>
      <x:c r="G103" s="12" t="str">
        <x:f>IF(NOT(ISNUMBER(F103)),"",D103-F103)</x:f>
      </x:c>
      <x:c r="H103" s="10"/>
      <x:c r="I103" s="10"/>
    </x:row>
    <x:row r="104" ht="24" customHeight="1">
      <x:c r="A104" s="10"/>
      <x:c r="B104" s="5"/>
      <x:c r="C104" s="10"/>
      <x:c r="D104" s="11"/>
      <x:c r="E104" s="13"/>
      <x:c r="F104" s="12" t="str">
        <x:f>IF(OR(A104="",B104="",C104="",NOT(ISNUMBER(D104)),NOT(ISNUMBER(E104))),"",ROUND(D104*E104,2))</x:f>
      </x:c>
      <x:c r="G104" s="12" t="str">
        <x:f>IF(NOT(ISNUMBER(F104)),"",D104-F104)</x:f>
      </x:c>
      <x:c r="H104" s="10"/>
      <x:c r="I104" s="10"/>
    </x:row>
    <x:row r="105" ht="24" customHeight="1">
      <x:c r="A105" s="10"/>
      <x:c r="B105" s="5"/>
      <x:c r="C105" s="10"/>
      <x:c r="D105" s="11"/>
      <x:c r="E105" s="13"/>
      <x:c r="F105" s="12" t="str">
        <x:f>IF(OR(A105="",B105="",C105="",NOT(ISNUMBER(D105)),NOT(ISNUMBER(E105))),"",ROUND(D105*E105,2))</x:f>
      </x:c>
      <x:c r="G105" s="12" t="str">
        <x:f>IF(NOT(ISNUMBER(F105)),"",D105-F105)</x:f>
      </x:c>
      <x:c r="H105" s="10"/>
      <x:c r="I105" s="10"/>
    </x:row>
    <x:row r="106" ht="24" customHeight="1">
      <x:c r="A106" s="10"/>
      <x:c r="B106" s="5"/>
      <x:c r="C106" s="10"/>
      <x:c r="D106" s="11"/>
      <x:c r="E106" s="13"/>
      <x:c r="F106" s="12" t="str">
        <x:f>IF(OR(A106="",B106="",C106="",NOT(ISNUMBER(D106)),NOT(ISNUMBER(E106))),"",ROUND(D106*E106,2))</x:f>
      </x:c>
      <x:c r="G106" s="12" t="str">
        <x:f>IF(NOT(ISNUMBER(F106)),"",D106-F106)</x:f>
      </x:c>
      <x:c r="H106" s="10"/>
      <x:c r="I106" s="10"/>
    </x:row>
    <x:row r="107" ht="24" customHeight="1">
      <x:c r="A107" s="10"/>
      <x:c r="B107" s="5"/>
      <x:c r="C107" s="10"/>
      <x:c r="D107" s="11"/>
      <x:c r="E107" s="13"/>
      <x:c r="F107" s="12" t="str">
        <x:f>IF(OR(A107="",B107="",C107="",NOT(ISNUMBER(D107)),NOT(ISNUMBER(E107))),"",ROUND(D107*E107,2))</x:f>
      </x:c>
      <x:c r="G107" s="12" t="str">
        <x:f>IF(NOT(ISNUMBER(F107)),"",D107-F107)</x:f>
      </x:c>
      <x:c r="H107" s="10"/>
      <x:c r="I107" s="10"/>
    </x:row>
    <x:row r="108" ht="24" customHeight="1">
      <x:c r="A108" s="10"/>
      <x:c r="B108" s="5"/>
      <x:c r="C108" s="10"/>
      <x:c r="D108" s="11"/>
      <x:c r="E108" s="13"/>
      <x:c r="F108" s="12" t="str">
        <x:f>IF(OR(A108="",B108="",C108="",NOT(ISNUMBER(D108)),NOT(ISNUMBER(E108))),"",ROUND(D108*E108,2))</x:f>
      </x:c>
      <x:c r="G108" s="12" t="str">
        <x:f>IF(NOT(ISNUMBER(F108)),"",D108-F108)</x:f>
      </x:c>
      <x:c r="H108" s="10"/>
      <x:c r="I108" s="10"/>
    </x:row>
    <x:row r="109" ht="24" customHeight="1">
      <x:c r="A109" s="10"/>
      <x:c r="B109" s="5"/>
      <x:c r="C109" s="10"/>
      <x:c r="D109" s="11"/>
      <x:c r="E109" s="13"/>
      <x:c r="F109" s="12" t="str">
        <x:f>IF(OR(A109="",B109="",C109="",NOT(ISNUMBER(D109)),NOT(ISNUMBER(E109))),"",ROUND(D109*E109,2))</x:f>
      </x:c>
      <x:c r="G109" s="12" t="str">
        <x:f>IF(NOT(ISNUMBER(F109)),"",D109-F109)</x:f>
      </x:c>
      <x:c r="H109" s="10"/>
      <x:c r="I109" s="10"/>
    </x:row>
    <x:row r="110" ht="24" customHeight="1">
      <x:c r="A110" s="10"/>
      <x:c r="B110" s="5"/>
      <x:c r="C110" s="10"/>
      <x:c r="D110" s="11"/>
      <x:c r="E110" s="13"/>
      <x:c r="F110" s="12" t="str">
        <x:f>IF(OR(A110="",B110="",C110="",NOT(ISNUMBER(D110)),NOT(ISNUMBER(E110))),"",ROUND(D110*E110,2))</x:f>
      </x:c>
      <x:c r="G110" s="12" t="str">
        <x:f>IF(NOT(ISNUMBER(F110)),"",D110-F110)</x:f>
      </x:c>
      <x:c r="H110" s="10"/>
      <x:c r="I110" s="10"/>
    </x:row>
    <x:row r="111" ht="24" customHeight="1">
      <x:c r="A111" s="10"/>
      <x:c r="B111" s="5"/>
      <x:c r="C111" s="10"/>
      <x:c r="D111" s="11"/>
      <x:c r="E111" s="13"/>
      <x:c r="F111" s="12" t="str">
        <x:f>IF(OR(A111="",B111="",C111="",NOT(ISNUMBER(D111)),NOT(ISNUMBER(E111))),"",ROUND(D111*E111,2))</x:f>
      </x:c>
      <x:c r="G111" s="12" t="str">
        <x:f>IF(NOT(ISNUMBER(F111)),"",D111-F111)</x:f>
      </x:c>
      <x:c r="H111" s="10"/>
      <x:c r="I111" s="10"/>
    </x:row>
    <x:row r="112" ht="24" customHeight="1">
      <x:c r="A112" s="10"/>
      <x:c r="B112" s="5"/>
      <x:c r="C112" s="10"/>
      <x:c r="D112" s="11"/>
      <x:c r="E112" s="13"/>
      <x:c r="F112" s="12" t="str">
        <x:f>IF(OR(A112="",B112="",C112="",NOT(ISNUMBER(D112)),NOT(ISNUMBER(E112))),"",ROUND(D112*E112,2))</x:f>
      </x:c>
      <x:c r="G112" s="12" t="str">
        <x:f>IF(NOT(ISNUMBER(F112)),"",D112-F112)</x:f>
      </x:c>
      <x:c r="H112" s="10"/>
      <x:c r="I112" s="10"/>
    </x:row>
    <x:row r="113" ht="24" customHeight="1">
      <x:c r="A113" s="10"/>
      <x:c r="B113" s="5"/>
      <x:c r="C113" s="10"/>
      <x:c r="D113" s="11"/>
      <x:c r="E113" s="13"/>
      <x:c r="F113" s="12" t="str">
        <x:f>IF(OR(A113="",B113="",C113="",NOT(ISNUMBER(D113)),NOT(ISNUMBER(E113))),"",ROUND(D113*E113,2))</x:f>
      </x:c>
      <x:c r="G113" s="12" t="str">
        <x:f>IF(NOT(ISNUMBER(F113)),"",D113-F113)</x:f>
      </x:c>
      <x:c r="H113" s="10"/>
      <x:c r="I113" s="10"/>
    </x:row>
    <x:row r="114" ht="24" customHeight="1">
      <x:c r="A114" s="10"/>
      <x:c r="B114" s="5"/>
      <x:c r="C114" s="10"/>
      <x:c r="D114" s="11"/>
      <x:c r="E114" s="13"/>
      <x:c r="F114" s="12" t="str">
        <x:f>IF(OR(A114="",B114="",C114="",NOT(ISNUMBER(D114)),NOT(ISNUMBER(E114))),"",ROUND(D114*E114,2))</x:f>
      </x:c>
      <x:c r="G114" s="12" t="str">
        <x:f>IF(NOT(ISNUMBER(F114)),"",D114-F114)</x:f>
      </x:c>
      <x:c r="H114" s="10"/>
      <x:c r="I114" s="10"/>
    </x:row>
    <x:row r="115" ht="24" customHeight="1">
      <x:c r="A115" s="10"/>
      <x:c r="B115" s="5"/>
      <x:c r="C115" s="10"/>
      <x:c r="D115" s="11"/>
      <x:c r="E115" s="13"/>
      <x:c r="F115" s="12" t="str">
        <x:f>IF(OR(A115="",B115="",C115="",NOT(ISNUMBER(D115)),NOT(ISNUMBER(E115))),"",ROUND(D115*E115,2))</x:f>
      </x:c>
      <x:c r="G115" s="12" t="str">
        <x:f>IF(NOT(ISNUMBER(F115)),"",D115-F115)</x:f>
      </x:c>
      <x:c r="H115" s="10"/>
      <x:c r="I115" s="10"/>
    </x:row>
    <x:row r="116" ht="24" customHeight="1">
      <x:c r="A116" s="10"/>
      <x:c r="B116" s="5"/>
      <x:c r="C116" s="10"/>
      <x:c r="D116" s="11"/>
      <x:c r="E116" s="13"/>
      <x:c r="F116" s="12" t="str">
        <x:f>IF(OR(A116="",B116="",C116="",NOT(ISNUMBER(D116)),NOT(ISNUMBER(E116))),"",ROUND(D116*E116,2))</x:f>
      </x:c>
      <x:c r="G116" s="12" t="str">
        <x:f>IF(NOT(ISNUMBER(F116)),"",D116-F116)</x:f>
      </x:c>
      <x:c r="H116" s="10"/>
      <x:c r="I116" s="10"/>
    </x:row>
    <x:row r="117" ht="24" customHeight="1">
      <x:c r="A117" s="10"/>
      <x:c r="B117" s="5"/>
      <x:c r="C117" s="10"/>
      <x:c r="D117" s="11"/>
      <x:c r="E117" s="13"/>
      <x:c r="F117" s="12" t="str">
        <x:f>IF(OR(A117="",B117="",C117="",NOT(ISNUMBER(D117)),NOT(ISNUMBER(E117))),"",ROUND(D117*E117,2))</x:f>
      </x:c>
      <x:c r="G117" s="12" t="str">
        <x:f>IF(NOT(ISNUMBER(F117)),"",D117-F117)</x:f>
      </x:c>
      <x:c r="H117" s="10"/>
      <x:c r="I117" s="10"/>
    </x:row>
    <x:row r="118" ht="24" customHeight="1">
      <x:c r="A118" s="10"/>
      <x:c r="B118" s="5"/>
      <x:c r="C118" s="10"/>
      <x:c r="D118" s="11"/>
      <x:c r="E118" s="13"/>
      <x:c r="F118" s="12" t="str">
        <x:f>IF(OR(A118="",B118="",C118="",NOT(ISNUMBER(D118)),NOT(ISNUMBER(E118))),"",ROUND(D118*E118,2))</x:f>
      </x:c>
      <x:c r="G118" s="12" t="str">
        <x:f>IF(NOT(ISNUMBER(F118)),"",D118-F118)</x:f>
      </x:c>
      <x:c r="H118" s="10"/>
      <x:c r="I118" s="10"/>
    </x:row>
    <x:row r="119" ht="24" customHeight="1">
      <x:c r="A119" s="10"/>
      <x:c r="B119" s="5"/>
      <x:c r="C119" s="10"/>
      <x:c r="D119" s="11"/>
      <x:c r="E119" s="13"/>
      <x:c r="F119" s="12" t="str">
        <x:f>IF(OR(A119="",B119="",C119="",NOT(ISNUMBER(D119)),NOT(ISNUMBER(E119))),"",ROUND(D119*E119,2))</x:f>
      </x:c>
      <x:c r="G119" s="12" t="str">
        <x:f>IF(NOT(ISNUMBER(F119)),"",D119-F119)</x:f>
      </x:c>
      <x:c r="H119" s="10"/>
      <x:c r="I119" s="10"/>
    </x:row>
    <x:row r="120" ht="24" customHeight="1">
      <x:c r="A120" s="10"/>
      <x:c r="B120" s="5"/>
      <x:c r="C120" s="10"/>
      <x:c r="D120" s="11"/>
      <x:c r="E120" s="13"/>
      <x:c r="F120" s="12" t="str">
        <x:f>IF(OR(A120="",B120="",C120="",NOT(ISNUMBER(D120)),NOT(ISNUMBER(E120))),"",ROUND(D120*E120,2))</x:f>
      </x:c>
      <x:c r="G120" s="12" t="str">
        <x:f>IF(NOT(ISNUMBER(F120)),"",D120-F120)</x:f>
      </x:c>
      <x:c r="H120" s="10"/>
      <x:c r="I120" s="10"/>
    </x:row>
    <x:row r="121" ht="24" customHeight="1">
      <x:c r="A121" s="10"/>
      <x:c r="B121" s="5"/>
      <x:c r="C121" s="10"/>
      <x:c r="D121" s="11"/>
      <x:c r="E121" s="13"/>
      <x:c r="F121" s="12" t="str">
        <x:f>IF(OR(A121="",B121="",C121="",NOT(ISNUMBER(D121)),NOT(ISNUMBER(E121))),"",ROUND(D121*E121,2))</x:f>
      </x:c>
      <x:c r="G121" s="12" t="str">
        <x:f>IF(NOT(ISNUMBER(F121)),"",D121-F121)</x:f>
      </x:c>
      <x:c r="H121" s="10"/>
      <x:c r="I121" s="10"/>
    </x:row>
    <x:row r="122" ht="24" customHeight="1">
      <x:c r="A122" s="10"/>
      <x:c r="B122" s="5"/>
      <x:c r="C122" s="10"/>
      <x:c r="D122" s="11"/>
      <x:c r="E122" s="13"/>
      <x:c r="F122" s="12" t="str">
        <x:f>IF(OR(A122="",B122="",C122="",NOT(ISNUMBER(D122)),NOT(ISNUMBER(E122))),"",ROUND(D122*E122,2))</x:f>
      </x:c>
      <x:c r="G122" s="12" t="str">
        <x:f>IF(NOT(ISNUMBER(F122)),"",D122-F122)</x:f>
      </x:c>
      <x:c r="H122" s="10"/>
      <x:c r="I122" s="10"/>
    </x:row>
    <x:row r="123" ht="24" customHeight="1">
      <x:c r="A123" s="10"/>
      <x:c r="B123" s="5"/>
      <x:c r="C123" s="10"/>
      <x:c r="D123" s="11"/>
      <x:c r="E123" s="13"/>
      <x:c r="F123" s="12" t="str">
        <x:f>IF(OR(A123="",B123="",C123="",NOT(ISNUMBER(D123)),NOT(ISNUMBER(E123))),"",ROUND(D123*E123,2))</x:f>
      </x:c>
      <x:c r="G123" s="12" t="str">
        <x:f>IF(NOT(ISNUMBER(F123)),"",D123-F123)</x:f>
      </x:c>
      <x:c r="H123" s="10"/>
      <x:c r="I123" s="10"/>
    </x:row>
    <x:row r="124" ht="24" customHeight="1">
      <x:c r="A124" s="10"/>
      <x:c r="B124" s="5"/>
      <x:c r="C124" s="10"/>
      <x:c r="D124" s="11"/>
      <x:c r="E124" s="13"/>
      <x:c r="F124" s="12" t="str">
        <x:f>IF(OR(A124="",B124="",C124="",NOT(ISNUMBER(D124)),NOT(ISNUMBER(E124))),"",ROUND(D124*E124,2))</x:f>
      </x:c>
      <x:c r="G124" s="12" t="str">
        <x:f>IF(NOT(ISNUMBER(F124)),"",D124-F124)</x:f>
      </x:c>
      <x:c r="H124" s="10"/>
      <x:c r="I124" s="10"/>
    </x:row>
    <x:row r="125" ht="24" customHeight="1">
      <x:c r="A125" s="10"/>
      <x:c r="B125" s="5"/>
      <x:c r="C125" s="10"/>
      <x:c r="D125" s="11"/>
      <x:c r="E125" s="13"/>
      <x:c r="F125" s="12" t="str">
        <x:f>IF(OR(A125="",B125="",C125="",NOT(ISNUMBER(D125)),NOT(ISNUMBER(E125))),"",ROUND(D125*E125,2))</x:f>
      </x:c>
      <x:c r="G125" s="12" t="str">
        <x:f>IF(NOT(ISNUMBER(F125)),"",D125-F125)</x:f>
      </x:c>
      <x:c r="H125" s="10"/>
      <x:c r="I125" s="10"/>
    </x:row>
    <x:row r="126" ht="24" customHeight="1">
      <x:c r="A126" s="10"/>
      <x:c r="B126" s="5"/>
      <x:c r="C126" s="10"/>
      <x:c r="D126" s="11"/>
      <x:c r="E126" s="13"/>
      <x:c r="F126" s="12" t="str">
        <x:f>IF(OR(A126="",B126="",C126="",NOT(ISNUMBER(D126)),NOT(ISNUMBER(E126))),"",ROUND(D126*E126,2))</x:f>
      </x:c>
      <x:c r="G126" s="12" t="str">
        <x:f>IF(NOT(ISNUMBER(F126)),"",D126-F126)</x:f>
      </x:c>
      <x:c r="H126" s="10"/>
      <x:c r="I126" s="10"/>
    </x:row>
    <x:row r="127" ht="24" customHeight="1">
      <x:c r="A127" s="10"/>
      <x:c r="B127" s="5"/>
      <x:c r="C127" s="10"/>
      <x:c r="D127" s="11"/>
      <x:c r="E127" s="13"/>
      <x:c r="F127" s="12" t="str">
        <x:f>IF(OR(A127="",B127="",C127="",NOT(ISNUMBER(D127)),NOT(ISNUMBER(E127))),"",ROUND(D127*E127,2))</x:f>
      </x:c>
      <x:c r="G127" s="12" t="str">
        <x:f>IF(NOT(ISNUMBER(F127)),"",D127-F127)</x:f>
      </x:c>
      <x:c r="H127" s="10"/>
      <x:c r="I127" s="10"/>
    </x:row>
    <x:row r="128" ht="24" customHeight="1">
      <x:c r="A128" s="10"/>
      <x:c r="B128" s="5"/>
      <x:c r="C128" s="10"/>
      <x:c r="D128" s="11"/>
      <x:c r="E128" s="13"/>
      <x:c r="F128" s="12" t="str">
        <x:f>IF(OR(A128="",B128="",C128="",NOT(ISNUMBER(D128)),NOT(ISNUMBER(E128))),"",ROUND(D128*E128,2))</x:f>
      </x:c>
      <x:c r="G128" s="12" t="str">
        <x:f>IF(NOT(ISNUMBER(F128)),"",D128-F128)</x:f>
      </x:c>
      <x:c r="H128" s="10"/>
      <x:c r="I128" s="10"/>
    </x:row>
    <x:row r="129" ht="24" customHeight="1">
      <x:c r="A129" s="10"/>
      <x:c r="B129" s="5"/>
      <x:c r="C129" s="10"/>
      <x:c r="D129" s="11"/>
      <x:c r="E129" s="13"/>
      <x:c r="F129" s="12" t="str">
        <x:f>IF(OR(A129="",B129="",C129="",NOT(ISNUMBER(D129)),NOT(ISNUMBER(E129))),"",ROUND(D129*E129,2))</x:f>
      </x:c>
      <x:c r="G129" s="12" t="str">
        <x:f>IF(NOT(ISNUMBER(F129)),"",D129-F129)</x:f>
      </x:c>
      <x:c r="H129" s="10"/>
      <x:c r="I129" s="10"/>
    </x:row>
    <x:row r="130" ht="24" customHeight="1">
      <x:c r="A130" s="10"/>
      <x:c r="B130" s="5"/>
      <x:c r="C130" s="10"/>
      <x:c r="D130" s="11"/>
      <x:c r="E130" s="13"/>
      <x:c r="F130" s="12" t="str">
        <x:f>IF(OR(A130="",B130="",C130="",NOT(ISNUMBER(D130)),NOT(ISNUMBER(E130))),"",ROUND(D130*E130,2))</x:f>
      </x:c>
      <x:c r="G130" s="12" t="str">
        <x:f>IF(NOT(ISNUMBER(F130)),"",D130-F130)</x:f>
      </x:c>
      <x:c r="H130" s="10"/>
      <x:c r="I130" s="10"/>
    </x:row>
    <x:row r="131" ht="24" customHeight="1">
      <x:c r="A131" s="10"/>
      <x:c r="B131" s="5"/>
      <x:c r="C131" s="10"/>
      <x:c r="D131" s="11"/>
      <x:c r="E131" s="13"/>
      <x:c r="F131" s="12" t="str">
        <x:f>IF(OR(A131="",B131="",C131="",NOT(ISNUMBER(D131)),NOT(ISNUMBER(E131))),"",ROUND(D131*E131,2))</x:f>
      </x:c>
      <x:c r="G131" s="12" t="str">
        <x:f>IF(NOT(ISNUMBER(F131)),"",D131-F131)</x:f>
      </x:c>
      <x:c r="H131" s="10"/>
      <x:c r="I131" s="10"/>
    </x:row>
    <x:row r="132" ht="24" customHeight="1">
      <x:c r="A132" s="10"/>
      <x:c r="B132" s="5"/>
      <x:c r="C132" s="10"/>
      <x:c r="D132" s="11"/>
      <x:c r="E132" s="13"/>
      <x:c r="F132" s="12" t="str">
        <x:f>IF(OR(A132="",B132="",C132="",NOT(ISNUMBER(D132)),NOT(ISNUMBER(E132))),"",ROUND(D132*E132,2))</x:f>
      </x:c>
      <x:c r="G132" s="12" t="str">
        <x:f>IF(NOT(ISNUMBER(F132)),"",D132-F132)</x:f>
      </x:c>
      <x:c r="H132" s="10"/>
      <x:c r="I132" s="10"/>
    </x:row>
    <x:row r="133" ht="24" customHeight="1">
      <x:c r="A133" s="10"/>
      <x:c r="B133" s="5"/>
      <x:c r="C133" s="10"/>
      <x:c r="D133" s="11"/>
      <x:c r="E133" s="13"/>
      <x:c r="F133" s="12" t="str">
        <x:f>IF(OR(A133="",B133="",C133="",NOT(ISNUMBER(D133)),NOT(ISNUMBER(E133))),"",ROUND(D133*E133,2))</x:f>
      </x:c>
      <x:c r="G133" s="12" t="str">
        <x:f>IF(NOT(ISNUMBER(F133)),"",D133-F133)</x:f>
      </x:c>
      <x:c r="H133" s="10"/>
      <x:c r="I133" s="10"/>
    </x:row>
    <x:row r="134" ht="24" customHeight="1">
      <x:c r="A134" s="10"/>
      <x:c r="B134" s="5"/>
      <x:c r="C134" s="10"/>
      <x:c r="D134" s="11"/>
      <x:c r="E134" s="13"/>
      <x:c r="F134" s="12" t="str">
        <x:f>IF(OR(A134="",B134="",C134="",NOT(ISNUMBER(D134)),NOT(ISNUMBER(E134))),"",ROUND(D134*E134,2))</x:f>
      </x:c>
      <x:c r="G134" s="12" t="str">
        <x:f>IF(NOT(ISNUMBER(F134)),"",D134-F134)</x:f>
      </x:c>
      <x:c r="H134" s="10"/>
      <x:c r="I134" s="10"/>
    </x:row>
    <x:row r="135" ht="24" customHeight="1">
      <x:c r="A135" s="10"/>
      <x:c r="B135" s="5"/>
      <x:c r="C135" s="10"/>
      <x:c r="D135" s="11"/>
      <x:c r="E135" s="13"/>
      <x:c r="F135" s="12" t="str">
        <x:f>IF(OR(A135="",B135="",C135="",NOT(ISNUMBER(D135)),NOT(ISNUMBER(E135))),"",ROUND(D135*E135,2))</x:f>
      </x:c>
      <x:c r="G135" s="12" t="str">
        <x:f>IF(NOT(ISNUMBER(F135)),"",D135-F135)</x:f>
      </x:c>
      <x:c r="H135" s="10"/>
      <x:c r="I135" s="10"/>
    </x:row>
    <x:row r="136" ht="24" customHeight="1">
      <x:c r="A136" s="10"/>
      <x:c r="B136" s="5"/>
      <x:c r="C136" s="10"/>
      <x:c r="D136" s="11"/>
      <x:c r="E136" s="13"/>
      <x:c r="F136" s="12" t="str">
        <x:f>IF(OR(A136="",B136="",C136="",NOT(ISNUMBER(D136)),NOT(ISNUMBER(E136))),"",ROUND(D136*E136,2))</x:f>
      </x:c>
      <x:c r="G136" s="12" t="str">
        <x:f>IF(NOT(ISNUMBER(F136)),"",D136-F136)</x:f>
      </x:c>
      <x:c r="H136" s="10"/>
      <x:c r="I136" s="10"/>
    </x:row>
    <x:row r="137" ht="24" customHeight="1">
      <x:c r="A137" s="10"/>
      <x:c r="B137" s="5"/>
      <x:c r="C137" s="10"/>
      <x:c r="D137" s="11"/>
      <x:c r="E137" s="13"/>
      <x:c r="F137" s="12" t="str">
        <x:f>IF(OR(A137="",B137="",C137="",NOT(ISNUMBER(D137)),NOT(ISNUMBER(E137))),"",ROUND(D137*E137,2))</x:f>
      </x:c>
      <x:c r="G137" s="12" t="str">
        <x:f>IF(NOT(ISNUMBER(F137)),"",D137-F137)</x:f>
      </x:c>
      <x:c r="H137" s="10"/>
      <x:c r="I137" s="10"/>
    </x:row>
    <x:row r="138" ht="24" customHeight="1">
      <x:c r="A138" s="10"/>
      <x:c r="B138" s="5"/>
      <x:c r="C138" s="10"/>
      <x:c r="D138" s="11"/>
      <x:c r="E138" s="13"/>
      <x:c r="F138" s="12" t="str">
        <x:f>IF(OR(A138="",B138="",C138="",NOT(ISNUMBER(D138)),NOT(ISNUMBER(E138))),"",ROUND(D138*E138,2))</x:f>
      </x:c>
      <x:c r="G138" s="12" t="str">
        <x:f>IF(NOT(ISNUMBER(F138)),"",D138-F138)</x:f>
      </x:c>
      <x:c r="H138" s="10"/>
      <x:c r="I138" s="10"/>
    </x:row>
    <x:row r="139" ht="24" customHeight="1">
      <x:c r="A139" s="10"/>
      <x:c r="B139" s="5"/>
      <x:c r="C139" s="10"/>
      <x:c r="D139" s="11"/>
      <x:c r="E139" s="13"/>
      <x:c r="F139" s="12" t="str">
        <x:f>IF(OR(A139="",B139="",C139="",NOT(ISNUMBER(D139)),NOT(ISNUMBER(E139))),"",ROUND(D139*E139,2))</x:f>
      </x:c>
      <x:c r="G139" s="12" t="str">
        <x:f>IF(NOT(ISNUMBER(F139)),"",D139-F139)</x:f>
      </x:c>
      <x:c r="H139" s="10"/>
      <x:c r="I139" s="10"/>
    </x:row>
    <x:row r="140" ht="24" customHeight="1">
      <x:c r="A140" s="10"/>
      <x:c r="B140" s="5"/>
      <x:c r="C140" s="10"/>
      <x:c r="D140" s="11"/>
      <x:c r="E140" s="13"/>
      <x:c r="F140" s="12" t="str">
        <x:f>IF(OR(A140="",B140="",C140="",NOT(ISNUMBER(D140)),NOT(ISNUMBER(E140))),"",ROUND(D140*E140,2))</x:f>
      </x:c>
      <x:c r="G140" s="12" t="str">
        <x:f>IF(NOT(ISNUMBER(F140)),"",D140-F140)</x:f>
      </x:c>
      <x:c r="H140" s="10"/>
      <x:c r="I140" s="10"/>
    </x:row>
    <x:row r="141" ht="24" customHeight="1">
      <x:c r="A141" s="10"/>
      <x:c r="B141" s="5"/>
      <x:c r="C141" s="10"/>
      <x:c r="D141" s="11"/>
      <x:c r="E141" s="13"/>
      <x:c r="F141" s="12" t="str">
        <x:f>IF(OR(A141="",B141="",C141="",NOT(ISNUMBER(D141)),NOT(ISNUMBER(E141))),"",ROUND(D141*E141,2))</x:f>
      </x:c>
      <x:c r="G141" s="12" t="str">
        <x:f>IF(NOT(ISNUMBER(F141)),"",D141-F141)</x:f>
      </x:c>
      <x:c r="H141" s="10"/>
      <x:c r="I141" s="10"/>
    </x:row>
    <x:row r="142" ht="24" customHeight="1">
      <x:c r="A142" s="10"/>
      <x:c r="B142" s="5"/>
      <x:c r="C142" s="10"/>
      <x:c r="D142" s="11"/>
      <x:c r="E142" s="13"/>
      <x:c r="F142" s="12" t="str">
        <x:f>IF(OR(A142="",B142="",C142="",NOT(ISNUMBER(D142)),NOT(ISNUMBER(E142))),"",ROUND(D142*E142,2))</x:f>
      </x:c>
      <x:c r="G142" s="12" t="str">
        <x:f>IF(NOT(ISNUMBER(F142)),"",D142-F142)</x:f>
      </x:c>
      <x:c r="H142" s="10"/>
      <x:c r="I142" s="10"/>
    </x:row>
    <x:row r="143" ht="24" customHeight="1">
      <x:c r="A143" s="10"/>
      <x:c r="B143" s="5"/>
      <x:c r="C143" s="10"/>
      <x:c r="D143" s="11"/>
      <x:c r="E143" s="13"/>
      <x:c r="F143" s="12" t="str">
        <x:f>IF(OR(A143="",B143="",C143="",NOT(ISNUMBER(D143)),NOT(ISNUMBER(E143))),"",ROUND(D143*E143,2))</x:f>
      </x:c>
      <x:c r="G143" s="12" t="str">
        <x:f>IF(NOT(ISNUMBER(F143)),"",D143-F143)</x:f>
      </x:c>
      <x:c r="H143" s="10"/>
      <x:c r="I143" s="10"/>
    </x:row>
    <x:row r="144" ht="24" customHeight="1">
      <x:c r="A144" s="10"/>
      <x:c r="B144" s="5"/>
      <x:c r="C144" s="10"/>
      <x:c r="D144" s="11"/>
      <x:c r="E144" s="13"/>
      <x:c r="F144" s="12" t="str">
        <x:f>IF(OR(A144="",B144="",C144="",NOT(ISNUMBER(D144)),NOT(ISNUMBER(E144))),"",ROUND(D144*E144,2))</x:f>
      </x:c>
      <x:c r="G144" s="12" t="str">
        <x:f>IF(NOT(ISNUMBER(F144)),"",D144-F144)</x:f>
      </x:c>
      <x:c r="H144" s="10"/>
      <x:c r="I144" s="10"/>
    </x:row>
    <x:row r="145" ht="24" customHeight="1">
      <x:c r="A145" s="10"/>
      <x:c r="B145" s="5"/>
      <x:c r="C145" s="10"/>
      <x:c r="D145" s="11"/>
      <x:c r="E145" s="13"/>
      <x:c r="F145" s="12" t="str">
        <x:f>IF(OR(A145="",B145="",C145="",NOT(ISNUMBER(D145)),NOT(ISNUMBER(E145))),"",ROUND(D145*E145,2))</x:f>
      </x:c>
      <x:c r="G145" s="12" t="str">
        <x:f>IF(NOT(ISNUMBER(F145)),"",D145-F145)</x:f>
      </x:c>
      <x:c r="H145" s="10"/>
      <x:c r="I145" s="10"/>
    </x:row>
    <x:row r="146" ht="24" customHeight="1">
      <x:c r="A146" s="10"/>
      <x:c r="B146" s="5"/>
      <x:c r="C146" s="10"/>
      <x:c r="D146" s="11"/>
      <x:c r="E146" s="13"/>
      <x:c r="F146" s="12" t="str">
        <x:f>IF(OR(A146="",B146="",C146="",NOT(ISNUMBER(D146)),NOT(ISNUMBER(E146))),"",ROUND(D146*E146,2))</x:f>
      </x:c>
      <x:c r="G146" s="12" t="str">
        <x:f>IF(NOT(ISNUMBER(F146)),"",D146-F146)</x:f>
      </x:c>
      <x:c r="H146" s="10"/>
      <x:c r="I146" s="10"/>
    </x:row>
    <x:row r="147" ht="24" customHeight="1">
      <x:c r="A147" s="10"/>
      <x:c r="B147" s="5"/>
      <x:c r="C147" s="10"/>
      <x:c r="D147" s="11"/>
      <x:c r="E147" s="13"/>
      <x:c r="F147" s="12" t="str">
        <x:f>IF(OR(A147="",B147="",C147="",NOT(ISNUMBER(D147)),NOT(ISNUMBER(E147))),"",ROUND(D147*E147,2))</x:f>
      </x:c>
      <x:c r="G147" s="12" t="str">
        <x:f>IF(NOT(ISNUMBER(F147)),"",D147-F147)</x:f>
      </x:c>
      <x:c r="H147" s="10"/>
      <x:c r="I147" s="10"/>
    </x:row>
    <x:row r="148" ht="24" customHeight="1">
      <x:c r="A148" s="10"/>
      <x:c r="B148" s="5"/>
      <x:c r="C148" s="10"/>
      <x:c r="D148" s="11"/>
      <x:c r="E148" s="13"/>
      <x:c r="F148" s="12" t="str">
        <x:f>IF(OR(A148="",B148="",C148="",NOT(ISNUMBER(D148)),NOT(ISNUMBER(E148))),"",ROUND(D148*E148,2))</x:f>
      </x:c>
      <x:c r="G148" s="12" t="str">
        <x:f>IF(NOT(ISNUMBER(F148)),"",D148-F148)</x:f>
      </x:c>
      <x:c r="H148" s="10"/>
      <x:c r="I148" s="10"/>
    </x:row>
    <x:row r="149" ht="24" customHeight="1">
      <x:c r="A149" s="10"/>
      <x:c r="B149" s="5"/>
      <x:c r="C149" s="10"/>
      <x:c r="D149" s="11"/>
      <x:c r="E149" s="13"/>
      <x:c r="F149" s="12" t="str">
        <x:f>IF(OR(A149="",B149="",C149="",NOT(ISNUMBER(D149)),NOT(ISNUMBER(E149))),"",ROUND(D149*E149,2))</x:f>
      </x:c>
      <x:c r="G149" s="12" t="str">
        <x:f>IF(NOT(ISNUMBER(F149)),"",D149-F149)</x:f>
      </x:c>
      <x:c r="H149" s="10"/>
      <x:c r="I149" s="10"/>
    </x:row>
    <x:row r="150" ht="24" customHeight="1">
      <x:c r="A150" s="10"/>
      <x:c r="B150" s="5"/>
      <x:c r="C150" s="10"/>
      <x:c r="D150" s="11"/>
      <x:c r="E150" s="13"/>
      <x:c r="F150" s="12" t="str">
        <x:f>IF(OR(A150="",B150="",C150="",NOT(ISNUMBER(D150)),NOT(ISNUMBER(E150))),"",ROUND(D150*E150,2))</x:f>
      </x:c>
      <x:c r="G150" s="12" t="str">
        <x:f>IF(NOT(ISNUMBER(F150)),"",D150-F150)</x:f>
      </x:c>
      <x:c r="H150" s="10"/>
      <x:c r="I150" s="10"/>
    </x:row>
    <x:row r="151" ht="24" customHeight="1">
      <x:c r="A151" s="10"/>
      <x:c r="B151" s="5"/>
      <x:c r="C151" s="10"/>
      <x:c r="D151" s="11"/>
      <x:c r="E151" s="13"/>
      <x:c r="F151" s="12" t="str">
        <x:f>IF(OR(A151="",B151="",C151="",NOT(ISNUMBER(D151)),NOT(ISNUMBER(E151))),"",ROUND(D151*E151,2))</x:f>
      </x:c>
      <x:c r="G151" s="12" t="str">
        <x:f>IF(NOT(ISNUMBER(F151)),"",D151-F151)</x:f>
      </x:c>
      <x:c r="H151" s="10"/>
      <x:c r="I151" s="10"/>
    </x:row>
    <x:row r="152" ht="24" customHeight="1">
      <x:c r="A152" s="10"/>
      <x:c r="B152" s="5"/>
      <x:c r="C152" s="10"/>
      <x:c r="D152" s="11"/>
      <x:c r="E152" s="13"/>
      <x:c r="F152" s="12" t="str">
        <x:f>IF(OR(A152="",B152="",C152="",NOT(ISNUMBER(D152)),NOT(ISNUMBER(E152))),"",ROUND(D152*E152,2))</x:f>
      </x:c>
      <x:c r="G152" s="12" t="str">
        <x:f>IF(NOT(ISNUMBER(F152)),"",D152-F152)</x:f>
      </x:c>
      <x:c r="H152" s="10"/>
      <x:c r="I152" s="10"/>
    </x:row>
    <x:row r="153" ht="24" customHeight="1">
      <x:c r="A153" s="10"/>
      <x:c r="B153" s="5"/>
      <x:c r="C153" s="10"/>
      <x:c r="D153" s="11"/>
      <x:c r="E153" s="13"/>
      <x:c r="F153" s="12" t="str">
        <x:f>IF(OR(A153="",B153="",C153="",NOT(ISNUMBER(D153)),NOT(ISNUMBER(E153))),"",ROUND(D153*E153,2))</x:f>
      </x:c>
      <x:c r="G153" s="12" t="str">
        <x:f>IF(NOT(ISNUMBER(F153)),"",D153-F153)</x:f>
      </x:c>
      <x:c r="H153" s="10"/>
      <x:c r="I153" s="10"/>
    </x:row>
    <x:row r="154" ht="24" customHeight="1">
      <x:c r="A154" s="10"/>
      <x:c r="B154" s="5"/>
      <x:c r="C154" s="10"/>
      <x:c r="D154" s="11"/>
      <x:c r="E154" s="13"/>
      <x:c r="F154" s="12" t="str">
        <x:f>IF(OR(A154="",B154="",C154="",NOT(ISNUMBER(D154)),NOT(ISNUMBER(E154))),"",ROUND(D154*E154,2))</x:f>
      </x:c>
      <x:c r="G154" s="12" t="str">
        <x:f>IF(NOT(ISNUMBER(F154)),"",D154-F154)</x:f>
      </x:c>
      <x:c r="H154" s="10"/>
      <x:c r="I154" s="10"/>
    </x:row>
    <x:row r="155" ht="24" customHeight="1">
      <x:c r="A155" s="10"/>
      <x:c r="B155" s="5"/>
      <x:c r="C155" s="10"/>
      <x:c r="D155" s="11"/>
      <x:c r="E155" s="13"/>
      <x:c r="F155" s="12" t="str">
        <x:f>IF(OR(A155="",B155="",C155="",NOT(ISNUMBER(D155)),NOT(ISNUMBER(E155))),"",ROUND(D155*E155,2))</x:f>
      </x:c>
      <x:c r="G155" s="12" t="str">
        <x:f>IF(NOT(ISNUMBER(F155)),"",D155-F155)</x:f>
      </x:c>
      <x:c r="H155" s="10"/>
      <x:c r="I155" s="10"/>
    </x:row>
    <x:row r="156" ht="24" customHeight="1">
      <x:c r="A156" s="10"/>
      <x:c r="B156" s="5"/>
      <x:c r="C156" s="10"/>
      <x:c r="D156" s="11"/>
      <x:c r="E156" s="13"/>
      <x:c r="F156" s="12" t="str">
        <x:f>IF(OR(A156="",B156="",C156="",NOT(ISNUMBER(D156)),NOT(ISNUMBER(E156))),"",ROUND(D156*E156,2))</x:f>
      </x:c>
      <x:c r="G156" s="12" t="str">
        <x:f>IF(NOT(ISNUMBER(F156)),"",D156-F156)</x:f>
      </x:c>
      <x:c r="H156" s="10"/>
      <x:c r="I156" s="10"/>
    </x:row>
    <x:row r="157" ht="24" customHeight="1">
      <x:c r="A157" s="10"/>
      <x:c r="B157" s="5"/>
      <x:c r="C157" s="10"/>
      <x:c r="D157" s="11"/>
      <x:c r="E157" s="13"/>
      <x:c r="F157" s="12" t="str">
        <x:f>IF(OR(A157="",B157="",C157="",NOT(ISNUMBER(D157)),NOT(ISNUMBER(E157))),"",ROUND(D157*E157,2))</x:f>
      </x:c>
      <x:c r="G157" s="12" t="str">
        <x:f>IF(NOT(ISNUMBER(F157)),"",D157-F157)</x:f>
      </x:c>
      <x:c r="H157" s="10"/>
      <x:c r="I157" s="10"/>
    </x:row>
    <x:row r="158" ht="24" customHeight="1">
      <x:c r="A158" s="10"/>
      <x:c r="B158" s="5"/>
      <x:c r="C158" s="10"/>
      <x:c r="D158" s="11"/>
      <x:c r="E158" s="13"/>
      <x:c r="F158" s="12" t="str">
        <x:f>IF(OR(A158="",B158="",C158="",NOT(ISNUMBER(D158)),NOT(ISNUMBER(E158))),"",ROUND(D158*E158,2))</x:f>
      </x:c>
      <x:c r="G158" s="12" t="str">
        <x:f>IF(NOT(ISNUMBER(F158)),"",D158-F158)</x:f>
      </x:c>
      <x:c r="H158" s="10"/>
      <x:c r="I158" s="10"/>
    </x:row>
    <x:row r="159" ht="24" customHeight="1">
      <x:c r="A159" s="10"/>
      <x:c r="B159" s="5"/>
      <x:c r="C159" s="10"/>
      <x:c r="D159" s="11"/>
      <x:c r="E159" s="13"/>
      <x:c r="F159" s="12" t="str">
        <x:f>IF(OR(A159="",B159="",C159="",NOT(ISNUMBER(D159)),NOT(ISNUMBER(E159))),"",ROUND(D159*E159,2))</x:f>
      </x:c>
      <x:c r="G159" s="12" t="str">
        <x:f>IF(NOT(ISNUMBER(F159)),"",D159-F159)</x:f>
      </x:c>
      <x:c r="H159" s="10"/>
      <x:c r="I159" s="10"/>
    </x:row>
    <x:row r="160" ht="24" customHeight="1">
      <x:c r="A160" s="10"/>
      <x:c r="B160" s="5"/>
      <x:c r="C160" s="10"/>
      <x:c r="D160" s="11"/>
      <x:c r="E160" s="13"/>
      <x:c r="F160" s="12" t="str">
        <x:f>IF(OR(A160="",B160="",C160="",NOT(ISNUMBER(D160)),NOT(ISNUMBER(E160))),"",ROUND(D160*E160,2))</x:f>
      </x:c>
      <x:c r="G160" s="12" t="str">
        <x:f>IF(NOT(ISNUMBER(F160)),"",D160-F160)</x:f>
      </x:c>
      <x:c r="H160" s="10"/>
      <x:c r="I160" s="10"/>
    </x:row>
    <x:row r="161" ht="24" customHeight="1">
      <x:c r="A161" s="10"/>
      <x:c r="B161" s="5"/>
      <x:c r="C161" s="10"/>
      <x:c r="D161" s="11"/>
      <x:c r="E161" s="13"/>
      <x:c r="F161" s="12" t="str">
        <x:f>IF(OR(A161="",B161="",C161="",NOT(ISNUMBER(D161)),NOT(ISNUMBER(E161))),"",ROUND(D161*E161,2))</x:f>
      </x:c>
      <x:c r="G161" s="12" t="str">
        <x:f>IF(NOT(ISNUMBER(F161)),"",D161-F161)</x:f>
      </x:c>
      <x:c r="H161" s="10"/>
      <x:c r="I161" s="10"/>
    </x:row>
    <x:row r="162" ht="24" customHeight="1">
      <x:c r="A162" s="10"/>
      <x:c r="B162" s="5"/>
      <x:c r="C162" s="10"/>
      <x:c r="D162" s="11"/>
      <x:c r="E162" s="13"/>
      <x:c r="F162" s="12" t="str">
        <x:f>IF(OR(A162="",B162="",C162="",NOT(ISNUMBER(D162)),NOT(ISNUMBER(E162))),"",ROUND(D162*E162,2))</x:f>
      </x:c>
      <x:c r="G162" s="12" t="str">
        <x:f>IF(NOT(ISNUMBER(F162)),"",D162-F162)</x:f>
      </x:c>
      <x:c r="H162" s="10"/>
      <x:c r="I162" s="10"/>
    </x:row>
    <x:row r="163" ht="24" customHeight="1">
      <x:c r="A163" s="10"/>
      <x:c r="B163" s="5"/>
      <x:c r="C163" s="10"/>
      <x:c r="D163" s="11"/>
      <x:c r="E163" s="13"/>
      <x:c r="F163" s="12" t="str">
        <x:f>IF(OR(A163="",B163="",C163="",NOT(ISNUMBER(D163)),NOT(ISNUMBER(E163))),"",ROUND(D163*E163,2))</x:f>
      </x:c>
      <x:c r="G163" s="12" t="str">
        <x:f>IF(NOT(ISNUMBER(F163)),"",D163-F163)</x:f>
      </x:c>
      <x:c r="H163" s="10"/>
      <x:c r="I163" s="10"/>
    </x:row>
    <x:row r="164" ht="24" customHeight="1">
      <x:c r="A164" s="10"/>
      <x:c r="B164" s="5"/>
      <x:c r="C164" s="10"/>
      <x:c r="D164" s="11"/>
      <x:c r="E164" s="13"/>
      <x:c r="F164" s="12" t="str">
        <x:f>IF(OR(A164="",B164="",C164="",NOT(ISNUMBER(D164)),NOT(ISNUMBER(E164))),"",ROUND(D164*E164,2))</x:f>
      </x:c>
      <x:c r="G164" s="12" t="str">
        <x:f>IF(NOT(ISNUMBER(F164)),"",D164-F164)</x:f>
      </x:c>
      <x:c r="H164" s="10"/>
      <x:c r="I164" s="10"/>
    </x:row>
    <x:row r="165" ht="24" customHeight="1">
      <x:c r="A165" s="10"/>
      <x:c r="B165" s="5"/>
      <x:c r="C165" s="10"/>
      <x:c r="D165" s="11"/>
      <x:c r="E165" s="13"/>
      <x:c r="F165" s="12" t="str">
        <x:f>IF(OR(A165="",B165="",C165="",NOT(ISNUMBER(D165)),NOT(ISNUMBER(E165))),"",ROUND(D165*E165,2))</x:f>
      </x:c>
      <x:c r="G165" s="12" t="str">
        <x:f>IF(NOT(ISNUMBER(F165)),"",D165-F165)</x:f>
      </x:c>
      <x:c r="H165" s="10"/>
      <x:c r="I165" s="10"/>
    </x:row>
    <x:row r="166" ht="24" customHeight="1">
      <x:c r="A166" s="10"/>
      <x:c r="B166" s="5"/>
      <x:c r="C166" s="10"/>
      <x:c r="D166" s="11"/>
      <x:c r="E166" s="13"/>
      <x:c r="F166" s="12" t="str">
        <x:f>IF(OR(A166="",B166="",C166="",NOT(ISNUMBER(D166)),NOT(ISNUMBER(E166))),"",ROUND(D166*E166,2))</x:f>
      </x:c>
      <x:c r="G166" s="12" t="str">
        <x:f>IF(NOT(ISNUMBER(F166)),"",D166-F166)</x:f>
      </x:c>
      <x:c r="H166" s="10"/>
      <x:c r="I166" s="10"/>
    </x:row>
    <x:row r="167" ht="24" customHeight="1">
      <x:c r="A167" s="10"/>
      <x:c r="B167" s="5"/>
      <x:c r="C167" s="10"/>
      <x:c r="D167" s="11"/>
      <x:c r="E167" s="13"/>
      <x:c r="F167" s="12" t="str">
        <x:f>IF(OR(A167="",B167="",C167="",NOT(ISNUMBER(D167)),NOT(ISNUMBER(E167))),"",ROUND(D167*E167,2))</x:f>
      </x:c>
      <x:c r="G167" s="12" t="str">
        <x:f>IF(NOT(ISNUMBER(F167)),"",D167-F167)</x:f>
      </x:c>
      <x:c r="H167" s="10"/>
      <x:c r="I167" s="10"/>
    </x:row>
    <x:row r="168" ht="24" customHeight="1">
      <x:c r="A168" s="10"/>
      <x:c r="B168" s="5"/>
      <x:c r="C168" s="10"/>
      <x:c r="D168" s="11"/>
      <x:c r="E168" s="13"/>
      <x:c r="F168" s="12" t="str">
        <x:f>IF(OR(A168="",B168="",C168="",NOT(ISNUMBER(D168)),NOT(ISNUMBER(E168))),"",ROUND(D168*E168,2))</x:f>
      </x:c>
      <x:c r="G168" s="12" t="str">
        <x:f>IF(NOT(ISNUMBER(F168)),"",D168-F168)</x:f>
      </x:c>
      <x:c r="H168" s="10"/>
      <x:c r="I168" s="10"/>
    </x:row>
    <x:row r="169" ht="24" customHeight="1">
      <x:c r="A169" s="10"/>
      <x:c r="B169" s="5"/>
      <x:c r="C169" s="10"/>
      <x:c r="D169" s="11"/>
      <x:c r="E169" s="13"/>
      <x:c r="F169" s="12" t="str">
        <x:f>IF(OR(A169="",B169="",C169="",NOT(ISNUMBER(D169)),NOT(ISNUMBER(E169))),"",ROUND(D169*E169,2))</x:f>
      </x:c>
      <x:c r="G169" s="12" t="str">
        <x:f>IF(NOT(ISNUMBER(F169)),"",D169-F169)</x:f>
      </x:c>
      <x:c r="H169" s="10"/>
      <x:c r="I169" s="10"/>
    </x:row>
    <x:row r="170" ht="24" customHeight="1">
      <x:c r="A170" s="10"/>
      <x:c r="B170" s="5"/>
      <x:c r="C170" s="10"/>
      <x:c r="D170" s="11"/>
      <x:c r="E170" s="13"/>
      <x:c r="F170" s="12" t="str">
        <x:f>IF(OR(A170="",B170="",C170="",NOT(ISNUMBER(D170)),NOT(ISNUMBER(E170))),"",ROUND(D170*E170,2))</x:f>
      </x:c>
      <x:c r="G170" s="12" t="str">
        <x:f>IF(NOT(ISNUMBER(F170)),"",D170-F170)</x:f>
      </x:c>
      <x:c r="H170" s="10"/>
      <x:c r="I170" s="10"/>
    </x:row>
    <x:row r="171" ht="24" customHeight="1">
      <x:c r="A171" s="10"/>
      <x:c r="B171" s="5"/>
      <x:c r="C171" s="10"/>
      <x:c r="D171" s="11"/>
      <x:c r="E171" s="13"/>
      <x:c r="F171" s="12" t="str">
        <x:f>IF(OR(A171="",B171="",C171="",NOT(ISNUMBER(D171)),NOT(ISNUMBER(E171))),"",ROUND(D171*E171,2))</x:f>
      </x:c>
      <x:c r="G171" s="12" t="str">
        <x:f>IF(NOT(ISNUMBER(F171)),"",D171-F171)</x:f>
      </x:c>
      <x:c r="H171" s="10"/>
      <x:c r="I171" s="10"/>
    </x:row>
    <x:row r="172" ht="24" customHeight="1">
      <x:c r="A172" s="10"/>
      <x:c r="B172" s="5"/>
      <x:c r="C172" s="10"/>
      <x:c r="D172" s="11"/>
      <x:c r="E172" s="13"/>
      <x:c r="F172" s="12" t="str">
        <x:f>IF(OR(A172="",B172="",C172="",NOT(ISNUMBER(D172)),NOT(ISNUMBER(E172))),"",ROUND(D172*E172,2))</x:f>
      </x:c>
      <x:c r="G172" s="12" t="str">
        <x:f>IF(NOT(ISNUMBER(F172)),"",D172-F172)</x:f>
      </x:c>
      <x:c r="H172" s="10"/>
      <x:c r="I172" s="10"/>
    </x:row>
    <x:row r="173" ht="24" customHeight="1">
      <x:c r="A173" s="10"/>
      <x:c r="B173" s="5"/>
      <x:c r="C173" s="10"/>
      <x:c r="D173" s="11"/>
      <x:c r="E173" s="13"/>
      <x:c r="F173" s="12" t="str">
        <x:f>IF(OR(A173="",B173="",C173="",NOT(ISNUMBER(D173)),NOT(ISNUMBER(E173))),"",ROUND(D173*E173,2))</x:f>
      </x:c>
      <x:c r="G173" s="12" t="str">
        <x:f>IF(NOT(ISNUMBER(F173)),"",D173-F173)</x:f>
      </x:c>
      <x:c r="H173" s="10"/>
      <x:c r="I173" s="10"/>
    </x:row>
    <x:row r="174" ht="24" customHeight="1">
      <x:c r="A174" s="10"/>
      <x:c r="B174" s="5"/>
      <x:c r="C174" s="10"/>
      <x:c r="D174" s="11"/>
      <x:c r="E174" s="13"/>
      <x:c r="F174" s="12" t="str">
        <x:f>IF(OR(A174="",B174="",C174="",NOT(ISNUMBER(D174)),NOT(ISNUMBER(E174))),"",ROUND(D174*E174,2))</x:f>
      </x:c>
      <x:c r="G174" s="12" t="str">
        <x:f>IF(NOT(ISNUMBER(F174)),"",D174-F174)</x:f>
      </x:c>
      <x:c r="H174" s="10"/>
      <x:c r="I174" s="10"/>
    </x:row>
    <x:row r="175" ht="24" customHeight="1">
      <x:c r="A175" s="10"/>
      <x:c r="B175" s="5"/>
      <x:c r="C175" s="10"/>
      <x:c r="D175" s="11"/>
      <x:c r="E175" s="13"/>
      <x:c r="F175" s="12" t="str">
        <x:f>IF(OR(A175="",B175="",C175="",NOT(ISNUMBER(D175)),NOT(ISNUMBER(E175))),"",ROUND(D175*E175,2))</x:f>
      </x:c>
      <x:c r="G175" s="12" t="str">
        <x:f>IF(NOT(ISNUMBER(F175)),"",D175-F175)</x:f>
      </x:c>
      <x:c r="H175" s="10"/>
      <x:c r="I175" s="10"/>
    </x:row>
    <x:row r="176" ht="24" customHeight="1">
      <x:c r="A176" s="10"/>
      <x:c r="B176" s="5"/>
      <x:c r="C176" s="10"/>
      <x:c r="D176" s="11"/>
      <x:c r="E176" s="13"/>
      <x:c r="F176" s="12" t="str">
        <x:f>IF(OR(A176="",B176="",C176="",NOT(ISNUMBER(D176)),NOT(ISNUMBER(E176))),"",ROUND(D176*E176,2))</x:f>
      </x:c>
      <x:c r="G176" s="12" t="str">
        <x:f>IF(NOT(ISNUMBER(F176)),"",D176-F176)</x:f>
      </x:c>
      <x:c r="H176" s="10"/>
      <x:c r="I176" s="10"/>
    </x:row>
    <x:row r="177" ht="24" customHeight="1">
      <x:c r="A177" s="10"/>
      <x:c r="B177" s="5"/>
      <x:c r="C177" s="10"/>
      <x:c r="D177" s="11"/>
      <x:c r="E177" s="13"/>
      <x:c r="F177" s="12" t="str">
        <x:f>IF(OR(A177="",B177="",C177="",NOT(ISNUMBER(D177)),NOT(ISNUMBER(E177))),"",ROUND(D177*E177,2))</x:f>
      </x:c>
      <x:c r="G177" s="12" t="str">
        <x:f>IF(NOT(ISNUMBER(F177)),"",D177-F177)</x:f>
      </x:c>
      <x:c r="H177" s="10"/>
      <x:c r="I177" s="10"/>
    </x:row>
    <x:row r="178" ht="24" customHeight="1">
      <x:c r="A178" s="10"/>
      <x:c r="B178" s="5"/>
      <x:c r="C178" s="10"/>
      <x:c r="D178" s="11"/>
      <x:c r="E178" s="13"/>
      <x:c r="F178" s="12" t="str">
        <x:f>IF(OR(A178="",B178="",C178="",NOT(ISNUMBER(D178)),NOT(ISNUMBER(E178))),"",ROUND(D178*E178,2))</x:f>
      </x:c>
      <x:c r="G178" s="12" t="str">
        <x:f>IF(NOT(ISNUMBER(F178)),"",D178-F178)</x:f>
      </x:c>
      <x:c r="H178" s="10"/>
      <x:c r="I178" s="10"/>
    </x:row>
    <x:row r="179" ht="24" customHeight="1">
      <x:c r="A179" s="10"/>
      <x:c r="B179" s="5"/>
      <x:c r="C179" s="10"/>
      <x:c r="D179" s="11"/>
      <x:c r="E179" s="13"/>
      <x:c r="F179" s="12" t="str">
        <x:f>IF(OR(A179="",B179="",C179="",NOT(ISNUMBER(D179)),NOT(ISNUMBER(E179))),"",ROUND(D179*E179,2))</x:f>
      </x:c>
      <x:c r="G179" s="12" t="str">
        <x:f>IF(NOT(ISNUMBER(F179)),"",D179-F179)</x:f>
      </x:c>
      <x:c r="H179" s="10"/>
      <x:c r="I179" s="10"/>
    </x:row>
    <x:row r="180" ht="24" customHeight="1">
      <x:c r="A180" s="10"/>
      <x:c r="B180" s="5"/>
      <x:c r="C180" s="10"/>
      <x:c r="D180" s="11"/>
      <x:c r="E180" s="13"/>
      <x:c r="F180" s="12" t="str">
        <x:f>IF(OR(A180="",B180="",C180="",NOT(ISNUMBER(D180)),NOT(ISNUMBER(E180))),"",ROUND(D180*E180,2))</x:f>
      </x:c>
      <x:c r="G180" s="12" t="str">
        <x:f>IF(NOT(ISNUMBER(F180)),"",D180-F180)</x:f>
      </x:c>
      <x:c r="H180" s="10"/>
      <x:c r="I180" s="10"/>
    </x:row>
    <x:row r="181" ht="24" customHeight="1">
      <x:c r="A181" s="10"/>
      <x:c r="B181" s="5"/>
      <x:c r="C181" s="10"/>
      <x:c r="D181" s="11"/>
      <x:c r="E181" s="13"/>
      <x:c r="F181" s="12" t="str">
        <x:f>IF(OR(A181="",B181="",C181="",NOT(ISNUMBER(D181)),NOT(ISNUMBER(E181))),"",ROUND(D181*E181,2))</x:f>
      </x:c>
      <x:c r="G181" s="12" t="str">
        <x:f>IF(NOT(ISNUMBER(F181)),"",D181-F181)</x:f>
      </x:c>
      <x:c r="H181" s="10"/>
      <x:c r="I181" s="10"/>
    </x:row>
    <x:row r="182" ht="24" customHeight="1">
      <x:c r="A182" s="10"/>
      <x:c r="B182" s="5"/>
      <x:c r="C182" s="10"/>
      <x:c r="D182" s="11"/>
      <x:c r="E182" s="13"/>
      <x:c r="F182" s="12" t="str">
        <x:f>IF(OR(A182="",B182="",C182="",NOT(ISNUMBER(D182)),NOT(ISNUMBER(E182))),"",ROUND(D182*E182,2))</x:f>
      </x:c>
      <x:c r="G182" s="12" t="str">
        <x:f>IF(NOT(ISNUMBER(F182)),"",D182-F182)</x:f>
      </x:c>
      <x:c r="H182" s="10"/>
      <x:c r="I182" s="10"/>
    </x:row>
    <x:row r="183" ht="24" customHeight="1">
      <x:c r="A183" s="10"/>
      <x:c r="B183" s="5"/>
      <x:c r="C183" s="10"/>
      <x:c r="D183" s="11"/>
      <x:c r="E183" s="13"/>
      <x:c r="F183" s="12" t="str">
        <x:f>IF(OR(A183="",B183="",C183="",NOT(ISNUMBER(D183)),NOT(ISNUMBER(E183))),"",ROUND(D183*E183,2))</x:f>
      </x:c>
      <x:c r="G183" s="12" t="str">
        <x:f>IF(NOT(ISNUMBER(F183)),"",D183-F183)</x:f>
      </x:c>
      <x:c r="H183" s="10"/>
      <x:c r="I183" s="10"/>
    </x:row>
    <x:row r="184" ht="24" customHeight="1">
      <x:c r="A184" s="10"/>
      <x:c r="B184" s="5"/>
      <x:c r="C184" s="10"/>
      <x:c r="D184" s="11"/>
      <x:c r="E184" s="13"/>
      <x:c r="F184" s="12" t="str">
        <x:f>IF(OR(A184="",B184="",C184="",NOT(ISNUMBER(D184)),NOT(ISNUMBER(E184))),"",ROUND(D184*E184,2))</x:f>
      </x:c>
      <x:c r="G184" s="12" t="str">
        <x:f>IF(NOT(ISNUMBER(F184)),"",D184-F184)</x:f>
      </x:c>
      <x:c r="H184" s="10"/>
      <x:c r="I184" s="10"/>
    </x:row>
    <x:row r="185" ht="24" customHeight="1">
      <x:c r="A185" s="10"/>
      <x:c r="B185" s="5"/>
      <x:c r="C185" s="10"/>
      <x:c r="D185" s="11"/>
      <x:c r="E185" s="13"/>
      <x:c r="F185" s="12" t="str">
        <x:f>IF(OR(A185="",B185="",C185="",NOT(ISNUMBER(D185)),NOT(ISNUMBER(E185))),"",ROUND(D185*E185,2))</x:f>
      </x:c>
      <x:c r="G185" s="12" t="str">
        <x:f>IF(NOT(ISNUMBER(F185)),"",D185-F185)</x:f>
      </x:c>
      <x:c r="H185" s="10"/>
      <x:c r="I185" s="10"/>
    </x:row>
    <x:row r="186" ht="24" customHeight="1">
      <x:c r="A186" s="10"/>
      <x:c r="B186" s="5"/>
      <x:c r="C186" s="10"/>
      <x:c r="D186" s="11"/>
      <x:c r="E186" s="13"/>
      <x:c r="F186" s="12" t="str">
        <x:f>IF(OR(A186="",B186="",C186="",NOT(ISNUMBER(D186)),NOT(ISNUMBER(E186))),"",ROUND(D186*E186,2))</x:f>
      </x:c>
      <x:c r="G186" s="12" t="str">
        <x:f>IF(NOT(ISNUMBER(F186)),"",D186-F186)</x:f>
      </x:c>
      <x:c r="H186" s="10"/>
      <x:c r="I186" s="10"/>
    </x:row>
    <x:row r="187" ht="24" customHeight="1">
      <x:c r="A187" s="10"/>
      <x:c r="B187" s="5"/>
      <x:c r="C187" s="10"/>
      <x:c r="D187" s="11"/>
      <x:c r="E187" s="13"/>
      <x:c r="F187" s="12" t="str">
        <x:f>IF(OR(A187="",B187="",C187="",NOT(ISNUMBER(D187)),NOT(ISNUMBER(E187))),"",ROUND(D187*E187,2))</x:f>
      </x:c>
      <x:c r="G187" s="12" t="str">
        <x:f>IF(NOT(ISNUMBER(F187)),"",D187-F187)</x:f>
      </x:c>
      <x:c r="H187" s="10"/>
      <x:c r="I187" s="10"/>
    </x:row>
    <x:row r="188" ht="24" customHeight="1">
      <x:c r="A188" s="10"/>
      <x:c r="B188" s="5"/>
      <x:c r="C188" s="10"/>
      <x:c r="D188" s="11"/>
      <x:c r="E188" s="13"/>
      <x:c r="F188" s="12" t="str">
        <x:f>IF(OR(A188="",B188="",C188="",NOT(ISNUMBER(D188)),NOT(ISNUMBER(E188))),"",ROUND(D188*E188,2))</x:f>
      </x:c>
      <x:c r="G188" s="12" t="str">
        <x:f>IF(NOT(ISNUMBER(F188)),"",D188-F188)</x:f>
      </x:c>
      <x:c r="H188" s="10"/>
      <x:c r="I188" s="10"/>
    </x:row>
    <x:row r="189" ht="24" customHeight="1">
      <x:c r="A189" s="10"/>
      <x:c r="B189" s="5"/>
      <x:c r="C189" s="10"/>
      <x:c r="D189" s="11"/>
      <x:c r="E189" s="13"/>
      <x:c r="F189" s="12" t="str">
        <x:f>IF(OR(A189="",B189="",C189="",NOT(ISNUMBER(D189)),NOT(ISNUMBER(E189))),"",ROUND(D189*E189,2))</x:f>
      </x:c>
      <x:c r="G189" s="12" t="str">
        <x:f>IF(NOT(ISNUMBER(F189)),"",D189-F189)</x:f>
      </x:c>
      <x:c r="H189" s="10"/>
      <x:c r="I189" s="10"/>
    </x:row>
    <x:row r="190" ht="24" customHeight="1">
      <x:c r="A190" s="10"/>
      <x:c r="B190" s="5"/>
      <x:c r="C190" s="10"/>
      <x:c r="D190" s="11"/>
      <x:c r="E190" s="13"/>
      <x:c r="F190" s="12" t="str">
        <x:f>IF(OR(A190="",B190="",C190="",NOT(ISNUMBER(D190)),NOT(ISNUMBER(E190))),"",ROUND(D190*E190,2))</x:f>
      </x:c>
      <x:c r="G190" s="12" t="str">
        <x:f>IF(NOT(ISNUMBER(F190)),"",D190-F190)</x:f>
      </x:c>
      <x:c r="H190" s="10"/>
      <x:c r="I190" s="10"/>
    </x:row>
    <x:row r="191" ht="24" customHeight="1">
      <x:c r="A191" s="10"/>
      <x:c r="B191" s="5"/>
      <x:c r="C191" s="10"/>
      <x:c r="D191" s="11"/>
      <x:c r="E191" s="13"/>
      <x:c r="F191" s="12" t="str">
        <x:f>IF(OR(A191="",B191="",C191="",NOT(ISNUMBER(D191)),NOT(ISNUMBER(E191))),"",ROUND(D191*E191,2))</x:f>
      </x:c>
      <x:c r="G191" s="12" t="str">
        <x:f>IF(NOT(ISNUMBER(F191)),"",D191-F191)</x:f>
      </x:c>
      <x:c r="H191" s="10"/>
      <x:c r="I191" s="10"/>
    </x:row>
    <x:row r="192" ht="24" customHeight="1">
      <x:c r="A192" s="10"/>
      <x:c r="B192" s="5"/>
      <x:c r="C192" s="10"/>
      <x:c r="D192" s="11"/>
      <x:c r="E192" s="13"/>
      <x:c r="F192" s="12" t="str">
        <x:f>IF(OR(A192="",B192="",C192="",NOT(ISNUMBER(D192)),NOT(ISNUMBER(E192))),"",ROUND(D192*E192,2))</x:f>
      </x:c>
      <x:c r="G192" s="12" t="str">
        <x:f>IF(NOT(ISNUMBER(F192)),"",D192-F192)</x:f>
      </x:c>
      <x:c r="H192" s="10"/>
      <x:c r="I192" s="10"/>
    </x:row>
    <x:row r="193" ht="24" customHeight="1">
      <x:c r="A193" s="10"/>
      <x:c r="B193" s="5"/>
      <x:c r="C193" s="10"/>
      <x:c r="D193" s="11"/>
      <x:c r="E193" s="13"/>
      <x:c r="F193" s="12" t="str">
        <x:f>IF(OR(A193="",B193="",C193="",NOT(ISNUMBER(D193)),NOT(ISNUMBER(E193))),"",ROUND(D193*E193,2))</x:f>
      </x:c>
      <x:c r="G193" s="12" t="str">
        <x:f>IF(NOT(ISNUMBER(F193)),"",D193-F193)</x:f>
      </x:c>
      <x:c r="H193" s="10"/>
      <x:c r="I193" s="10"/>
    </x:row>
    <x:row r="194" ht="24" customHeight="1">
      <x:c r="A194" s="10"/>
      <x:c r="B194" s="5"/>
      <x:c r="C194" s="10"/>
      <x:c r="D194" s="11"/>
      <x:c r="E194" s="13"/>
      <x:c r="F194" s="12" t="str">
        <x:f>IF(OR(A194="",B194="",C194="",NOT(ISNUMBER(D194)),NOT(ISNUMBER(E194))),"",ROUND(D194*E194,2))</x:f>
      </x:c>
      <x:c r="G194" s="12" t="str">
        <x:f>IF(NOT(ISNUMBER(F194)),"",D194-F194)</x:f>
      </x:c>
      <x:c r="H194" s="10"/>
      <x:c r="I194" s="10"/>
    </x:row>
    <x:row r="195" ht="24" customHeight="1">
      <x:c r="A195" s="10"/>
      <x:c r="B195" s="5"/>
      <x:c r="C195" s="10"/>
      <x:c r="D195" s="11"/>
      <x:c r="E195" s="13"/>
      <x:c r="F195" s="12" t="str">
        <x:f>IF(OR(A195="",B195="",C195="",NOT(ISNUMBER(D195)),NOT(ISNUMBER(E195))),"",ROUND(D195*E195,2))</x:f>
      </x:c>
      <x:c r="G195" s="12" t="str">
        <x:f>IF(NOT(ISNUMBER(F195)),"",D195-F195)</x:f>
      </x:c>
      <x:c r="H195" s="10"/>
      <x:c r="I195" s="10"/>
    </x:row>
    <x:row r="196" ht="24" customHeight="1">
      <x:c r="A196" s="10"/>
      <x:c r="B196" s="5"/>
      <x:c r="C196" s="10"/>
      <x:c r="D196" s="11"/>
      <x:c r="E196" s="13"/>
      <x:c r="F196" s="12" t="str">
        <x:f>IF(OR(A196="",B196="",C196="",NOT(ISNUMBER(D196)),NOT(ISNUMBER(E196))),"",ROUND(D196*E196,2))</x:f>
      </x:c>
      <x:c r="G196" s="12" t="str">
        <x:f>IF(NOT(ISNUMBER(F196)),"",D196-F196)</x:f>
      </x:c>
      <x:c r="H196" s="10"/>
      <x:c r="I196" s="10"/>
    </x:row>
    <x:row r="197" ht="24" customHeight="1">
      <x:c r="A197" s="10"/>
      <x:c r="B197" s="5"/>
      <x:c r="C197" s="10"/>
      <x:c r="D197" s="11"/>
      <x:c r="E197" s="13"/>
      <x:c r="F197" s="12" t="str">
        <x:f>IF(OR(A197="",B197="",C197="",NOT(ISNUMBER(D197)),NOT(ISNUMBER(E197))),"",ROUND(D197*E197,2))</x:f>
      </x:c>
      <x:c r="G197" s="12" t="str">
        <x:f>IF(NOT(ISNUMBER(F197)),"",D197-F197)</x:f>
      </x:c>
      <x:c r="H197" s="10"/>
      <x:c r="I197" s="10"/>
    </x:row>
    <x:row r="198" ht="24" customHeight="1">
      <x:c r="A198" s="10"/>
      <x:c r="B198" s="5"/>
      <x:c r="C198" s="10"/>
      <x:c r="D198" s="11"/>
      <x:c r="E198" s="13"/>
      <x:c r="F198" s="12" t="str">
        <x:f>IF(OR(A198="",B198="",C198="",NOT(ISNUMBER(D198)),NOT(ISNUMBER(E198))),"",ROUND(D198*E198,2))</x:f>
      </x:c>
      <x:c r="G198" s="12" t="str">
        <x:f>IF(NOT(ISNUMBER(F198)),"",D198-F198)</x:f>
      </x:c>
      <x:c r="H198" s="10"/>
      <x:c r="I198" s="10"/>
    </x:row>
    <x:row r="199" ht="24" customHeight="1">
      <x:c r="A199" s="10"/>
      <x:c r="B199" s="5"/>
      <x:c r="C199" s="10"/>
      <x:c r="D199" s="11"/>
      <x:c r="E199" s="13"/>
      <x:c r="F199" s="12" t="str">
        <x:f>IF(OR(A199="",B199="",C199="",NOT(ISNUMBER(D199)),NOT(ISNUMBER(E199))),"",ROUND(D199*E199,2))</x:f>
      </x:c>
      <x:c r="G199" s="12" t="str">
        <x:f>IF(NOT(ISNUMBER(F199)),"",D199-F199)</x:f>
      </x:c>
      <x:c r="H199" s="10"/>
      <x:c r="I199" s="10"/>
    </x:row>
    <x:row r="200" ht="24" customHeight="1">
      <x:c r="A200" s="10"/>
      <x:c r="B200" s="5"/>
      <x:c r="C200" s="10"/>
      <x:c r="D200" s="11"/>
      <x:c r="E200" s="13"/>
      <x:c r="F200" s="12" t="str">
        <x:f>IF(OR(A200="",B200="",C200="",NOT(ISNUMBER(D200)),NOT(ISNUMBER(E200))),"",ROUND(D200*E200,2))</x:f>
      </x:c>
      <x:c r="G200" s="12" t="str">
        <x:f>IF(NOT(ISNUMBER(F200)),"",D200-F200)</x:f>
      </x:c>
      <x:c r="H200" s="10"/>
      <x:c r="I200" s="10"/>
    </x:row>
    <x:row r="201" ht="24" customHeight="1">
      <x:c r="A201" s="10"/>
      <x:c r="B201" s="5"/>
      <x:c r="C201" s="10"/>
      <x:c r="D201" s="11"/>
      <x:c r="E201" s="13"/>
      <x:c r="F201" s="12" t="str">
        <x:f>IF(OR(A201="",B201="",C201="",NOT(ISNUMBER(D201)),NOT(ISNUMBER(E201))),"",ROUND(D201*E201,2))</x:f>
      </x:c>
      <x:c r="G201" s="12" t="str">
        <x:f>IF(NOT(ISNUMBER(F201)),"",D201-F201)</x:f>
      </x:c>
      <x:c r="H201" s="10"/>
      <x:c r="I201" s="10"/>
    </x:row>
    <x:row r="202" ht="24" customHeight="1">
      <x:c r="A202" s="10"/>
      <x:c r="B202" s="5"/>
      <x:c r="C202" s="10"/>
      <x:c r="D202" s="11"/>
      <x:c r="E202" s="13"/>
      <x:c r="F202" s="12" t="str">
        <x:f>IF(OR(A202="",B202="",C202="",NOT(ISNUMBER(D202)),NOT(ISNUMBER(E202))),"",ROUND(D202*E202,2))</x:f>
      </x:c>
      <x:c r="G202" s="12" t="str">
        <x:f>IF(NOT(ISNUMBER(F202)),"",D202-F202)</x:f>
      </x:c>
      <x:c r="H202" s="10"/>
      <x:c r="I202" s="10"/>
    </x:row>
    <x:row r="203" ht="24" customHeight="1">
      <x:c r="A203" s="10"/>
      <x:c r="B203" s="5"/>
      <x:c r="C203" s="10"/>
      <x:c r="D203" s="11"/>
      <x:c r="E203" s="13"/>
      <x:c r="F203" s="12" t="str">
        <x:f>IF(OR(A203="",B203="",C203="",NOT(ISNUMBER(D203)),NOT(ISNUMBER(E203))),"",ROUND(D203*E203,2))</x:f>
      </x:c>
      <x:c r="G203" s="12" t="str">
        <x:f>IF(NOT(ISNUMBER(F203)),"",D203-F203)</x:f>
      </x:c>
      <x:c r="H203" s="10"/>
      <x:c r="I203" s="10"/>
    </x:row>
    <x:row r="204" ht="24" customHeight="1">
      <x:c r="A204" s="10"/>
      <x:c r="B204" s="5"/>
      <x:c r="C204" s="10"/>
      <x:c r="D204" s="11"/>
      <x:c r="E204" s="13"/>
      <x:c r="F204" s="12" t="str">
        <x:f>IF(OR(A204="",B204="",C204="",NOT(ISNUMBER(D204)),NOT(ISNUMBER(E204))),"",ROUND(D204*E204,2))</x:f>
      </x:c>
      <x:c r="G204" s="12" t="str">
        <x:f>IF(NOT(ISNUMBER(F204)),"",D204-F204)</x:f>
      </x:c>
      <x:c r="H204" s="10"/>
      <x:c r="I204" s="10"/>
    </x:row>
    <x:row r="205" ht="24" customHeight="1">
      <x:c r="A205" s="10"/>
      <x:c r="B205" s="5"/>
      <x:c r="C205" s="10"/>
      <x:c r="D205" s="11"/>
      <x:c r="E205" s="13"/>
      <x:c r="F205" s="12" t="str">
        <x:f>IF(OR(A205="",B205="",C205="",NOT(ISNUMBER(D205)),NOT(ISNUMBER(E205))),"",ROUND(D205*E205,2))</x:f>
      </x:c>
      <x:c r="G205" s="12" t="str">
        <x:f>IF(NOT(ISNUMBER(F205)),"",D205-F205)</x:f>
      </x:c>
      <x:c r="H205" s="10"/>
      <x:c r="I205" s="10"/>
    </x:row>
    <x:row r="206" ht="24" customHeight="1">
      <x:c r="A206" s="10"/>
      <x:c r="B206" s="5"/>
      <x:c r="C206" s="10"/>
      <x:c r="D206" s="11"/>
      <x:c r="E206" s="13"/>
      <x:c r="F206" s="12" t="str">
        <x:f>IF(OR(A206="",B206="",C206="",NOT(ISNUMBER(D206)),NOT(ISNUMBER(E206))),"",ROUND(D206*E206,2))</x:f>
      </x:c>
      <x:c r="G206" s="12" t="str">
        <x:f>IF(NOT(ISNUMBER(F206)),"",D206-F206)</x:f>
      </x:c>
      <x:c r="H206" s="10"/>
      <x:c r="I206" s="10"/>
    </x:row>
  </x:sheetData>
  <x:dataValidations count="1">
    <x:dataValidation type="decimal" operator="between" sqref="E7:E206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12" hidden="0" customWidth="1"/>
  </x:cols>
  <x:sheetData>
    <x:row r="1" ht="24" customHeight="1">
      <x:c r="A1" s="1"/>
      <x:c r="B1" s="1"/>
    </x:row>
    <x:row r="2" ht="24" customHeight="1">
      <x:c r="A2" s="2" t="str">
        <x:v>Start here | Template v1.0</x:v>
      </x:c>
      <x:c r="B2" s="1"/>
    </x:row>
    <x:row r="3" ht="24" customHeight="1">
      <x:c r="A3" s="1"/>
      <x:c r="B3" s="1"/>
    </x:row>
    <x:row r="4" ht="24" customHeight="1">
      <x:c r="A4" s="1"/>
      <x:c r="B4" s="1"/>
    </x:row>
    <x:row r="5" ht="43" customHeight="1">
      <x:c r="A5" s="14" t="str">
        <x:v>Import</x:v>
      </x:c>
      <x:c r="B5" s="15" t="str">
        <x:v>Upload the XLSX into your private Google Drive; open with Google Sheets and save as Google Sheets.</x:v>
      </x:c>
    </x:row>
    <x:row r="6" ht="43" customHeight="1">
      <x:c r="A6" s="14" t="str">
        <x:v>Ownership</x:v>
      </x:c>
      <x:c r="B6" s="15" t="str">
        <x:v>Keep ownership with John. Share only with chosen editors. Do not publish this private workbook.</x:v>
      </x:c>
    </x:row>
    <x:row r="7" ht="43" customHeight="1">
      <x:c r="A7" s="14" t="str">
        <x:v>First setup</x:v>
      </x:c>
      <x:c r="B7" s="15" t="str">
        <x:v>Set Summary B4. Add each account/currency in Accounts, with its opening cash (enter 0 if new).</x:v>
      </x:c>
    </x:row>
    <x:row r="8" ht="43" customHeight="1">
      <x:c r="A8" s="14" t="str">
        <x:v>Opening date</x:v>
      </x:c>
      <x:c r="B8" s="15" t="str">
        <x:v>Choose a start date. Opening cash is the balance immediately before it. Record all later transactions.</x:v>
      </x:c>
    </x:row>
    <x:row r="9" ht="43" customHeight="1">
      <x:c r="A9" s="14" t="str">
        <x:v>Currency</x:v>
      </x:c>
      <x:c r="B9" s="15" t="str">
        <x:v>Replace Summary currency labels as needed. Use identical codes everywhere. No FX totals are combined.</x:v>
      </x:c>
    </x:row>
    <x:row r="10" ht="43" customHeight="1">
      <x:c r="A10" s="14" t="str">
        <x:v>Daily entry</x:v>
      </x:c>
      <x:c r="B10" s="15" t="str">
        <x:v>Transactions: unique ID, date, account, currency, type, recipient/purpose and positive in OR out amount.</x:v>
      </x:c>
    </x:row>
    <x:row r="11" ht="43" customHeight="1">
      <x:c r="A11" s="14" t="str">
        <x:v>Examples only</x:v>
      </x:c>
      <x:c r="B11" s="15" t="str">
        <x:v>Donation: Income / money in. AI bill: Expense / money out / Infrastructure. Do not enter these as real payments.</x:v>
      </x:c>
    </x:row>
    <x:row r="12" ht="43" customHeight="1">
      <x:c r="A12" s="14" t="str">
        <x:v>Payment fees</x:v>
      </x:c>
      <x:c r="B12" s="15" t="str">
        <x:v>Record gross donation as Income and fee as a separate Expense; net payout is a transfer, not new income.</x:v>
      </x:c>
    </x:row>
    <x:row r="13" ht="43" customHeight="1">
      <x:c r="A13" s="14" t="str">
        <x:v>Transfers</x:v>
      </x:c>
      <x:c r="B13" s="15" t="str">
        <x:v>Two rows: Transfer out at source and Transfer in at destination. Same pair ID/currency/amount; fees separate.</x:v>
      </x:c>
    </x:row>
    <x:row r="14" ht="43" customHeight="1">
      <x:c r="A14" s="14" t="str">
        <x:v>Transfer timing</x:v>
      </x:c>
      <x:c r="B14" s="15" t="str">
        <x:v>Date each leg when that account records it. Nonzero net transfers can mean money is in transit.</x:v>
      </x:c>
    </x:row>
    <x:row r="15" ht="43" customHeight="1">
      <x:c r="A15" s="14" t="str">
        <x:v>Foreign exchange</x:v>
      </x:c>
      <x:c r="B15" s="15" t="str">
        <x:v>This version supports same-currency transfers. Ask for an FX extension before recording conversions.</x:v>
      </x:c>
    </x:row>
    <x:row r="16" ht="43" customHeight="1">
      <x:c r="A16" s="14" t="str">
        <x:v>Receipts</x:v>
      </x:c>
      <x:c r="B16" s="15" t="str">
        <x:v>Upload photos/screenshots/PDFs to a private Drive receipts folder; paste a restricted share link in column L.</x:v>
      </x:c>
    </x:row>
    <x:row r="17" ht="43" customHeight="1">
      <x:c r="A17" s="14" t="str">
        <x:v>File names</x:v>
      </x:c>
      <x:c r="B17" s="15" t="str">
        <x:v>Use transaction ID + date + supplier. Keep full receipt details private; do not expose donor contact details.</x:v>
      </x:c>
    </x:row>
    <x:row r="18" ht="43" customHeight="1">
      <x:c r="A18" s="14" t="str">
        <x:v>Allocations</x:v>
      </x:c>
      <x:c r="B18" s="15" t="str">
        <x:v>Record approved budget allocations separately. Current policy is 80% Treasury / 20% infrastructure.</x:v>
      </x:c>
    </x:row>
    <x:row r="19" ht="43" customHeight="1">
      <x:c r="A19" s="14" t="str">
        <x:v>Allocation base</x:v>
      </x:c>
      <x:c r="B19" s="15" t="str">
        <x:v>Enter the actual agreed gross/net basis; note fee treatment and source transaction. No automatic basis is assumed.</x:v>
      </x:c>
    </x:row>
    <x:row r="20" ht="43" customHeight="1">
      <x:c r="A20" s="14" t="str">
        <x:v>Rates</x:v>
      </x:c>
      <x:c r="B20" s="15" t="str">
        <x:v>Enter 80% per applicable allocation. Rates are stored per row so later policy changes do not rewrite history.</x:v>
      </x:c>
    </x:row>
    <x:row r="21" ht="43" customHeight="1">
      <x:c r="A21" s="14" t="str">
        <x:v>Reversals</x:v>
      </x:c>
      <x:c r="B21" s="15" t="str">
        <x:v>Use a negative allocation to reverse a budget entry. For cash corrections, record the real opposite flow and reference original ID.</x:v>
      </x:c>
    </x:row>
    <x:row r="22" ht="43" customHeight="1">
      <x:c r="A22" s="14" t="str">
        <x:v>Reconcile</x:v>
      </x:c>
      <x:c r="B22" s="15" t="str">
        <x:v>Set the Summary date to your statement date. Enter statement balances in Accounts G. Difference should be 0.00.</x:v>
      </x:c>
    </x:row>
    <x:row r="23" ht="43" customHeight="1">
      <x:c r="A23" s="14" t="str">
        <x:v>Review</x:v>
      </x:c>
      <x:c r="B23" s="15" t="str">
        <x:v>Inspect Transactions Review column. Also check transfer legs match by account, date and amount; flags are not a full audit.</x:v>
      </x:c>
    </x:row>
    <x:row r="24" ht="43" customHeight="1">
      <x:c r="A24" s="14" t="str">
        <x:v>Cash versus budget</x:v>
      </x:c>
      <x:c r="B24" s="15" t="str">
        <x:v>Accounts/book balances include all cash rows. Budget balances include only entered allocations and fund-tagged expenses.</x:v>
      </x:c>
    </x:row>
    <x:row r="25" ht="43" customHeight="1">
      <x:c r="A25" s="14" t="str">
        <x:v>No automatic payments</x:v>
      </x:c>
      <x:c r="B25" s="15" t="str">
        <x:v>This workbook records activity; it does not initiate payments, import Stripe, or control bank permissions.</x:v>
      </x:c>
    </x:row>
    <x:row r="26" ht="43" customHeight="1">
      <x:c r="A26" s="14" t="str">
        <x:v>Limits</x:v>
      </x:c>
      <x:c r="B26" s="15" t="str">
        <x:v>500 transactions; 200 allocations; 20 account/currency rows; 5 currencies. Ask us to extend ranges before exceeding these.</x:v>
      </x:c>
    </x:row>
    <x:row r="27" ht="43" customHeight="1">
      <x:c r="A27" s="14" t="str">
        <x:v>Maintaining together</x:v>
      </x:c>
      <x:c r="B27" s="15" t="str">
        <x:v>Share the current workbook or connect Google Drive for future edits. We will preserve records and version structural changes.</x:v>
      </x:c>
    </x:row>
    <x:row r="28" ht="43" customHeight="1">
      <x:c r="A28" s="14" t="str">
        <x:v>Protect formulas</x:v>
      </x:c>
      <x:c r="B28" s="15" t="str">
        <x:v>After import, protect Summary formulas, Accounts D:F/H:I, Transactions O and Allocations F:G. Inputs stay editable.</x:v>
      </x:c>
    </x:row>
    <x:row r="29" ht="43" customHeight="1">
      <x:c r="A29" s="14" t="str">
        <x:v>Audit history</x:v>
      </x:c>
      <x:c r="B29" s="15" t="str">
        <x:v>Use Google version history and periodic private exports. This template is not an immutable audit log.</x:v>
      </x:c>
    </x:row>
    <x:row r="30" ht="43" customHeight="1">
      <x:c r="A30" s="14" t="str">
        <x:v>Version record</x:v>
      </x:c>
      <x:c r="B30" s="15" t="str">
        <x:v>v1.0 — 11 September 2026. Blank template. No donor data, receipts or unverified bank balances imported.</x:v>
      </x:c>
    </x:row>
  </x:sheetData>
  <x:pageMargins left="0.7" right="0.7" top="0.75" bottom="0.75" header="0.3" footer="0.3"/>
</x:worksheet>
</file>